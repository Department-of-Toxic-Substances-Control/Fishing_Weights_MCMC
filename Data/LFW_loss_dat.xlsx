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afer Consumer Products\Lead_Fishing_Weights\Statewide_Analysis\Data\"/>
    </mc:Choice>
  </mc:AlternateContent>
  <xr:revisionPtr revIDLastSave="0" documentId="13_ncr:1_{21A9BE28-81BC-4B06-A767-8840EC2BE487}" xr6:coauthVersionLast="47" xr6:coauthVersionMax="47" xr10:uidLastSave="{00000000-0000-0000-0000-000000000000}"/>
  <bookViews>
    <workbookView xWindow="-110" yWindow="-110" windowWidth="19420" windowHeight="10420" xr2:uid="{B4336FAE-BBD2-4B92-B710-C399F635D3FA}"/>
  </bookViews>
  <sheets>
    <sheet name="AllData" sheetId="5" r:id="rId1"/>
    <sheet name="ReadMe" sheetId="1" r:id="rId2"/>
    <sheet name="Bell_etal_1985" sheetId="8" r:id="rId3"/>
    <sheet name="Forbes_1986" sheetId="4" r:id="rId4"/>
    <sheet name="Cryer_etal_1987" sheetId="6" r:id="rId5"/>
    <sheet name="Sears_1988" sheetId="7" r:id="rId6"/>
    <sheet name="Duerr_1999" sheetId="3" r:id="rId7"/>
    <sheet name="Radomski_etal_2006" sheetId="2" r:id="rId8"/>
    <sheet name="Pander_etal_2022" sheetId="10" r:id="rId9"/>
  </sheets>
  <definedNames>
    <definedName name="_xlnm._FilterDatabase" localSheetId="0" hidden="1">AllData!$I$1:$I$87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7" l="1"/>
  <c r="E19" i="7"/>
  <c r="E18" i="7"/>
  <c r="E17" i="7"/>
  <c r="E16" i="7"/>
  <c r="E15" i="7"/>
  <c r="E14" i="7"/>
  <c r="E13" i="7"/>
  <c r="E12" i="7"/>
  <c r="E11" i="7"/>
  <c r="E10" i="7"/>
  <c r="E9" i="7"/>
  <c r="L12" i="2"/>
  <c r="L13" i="2"/>
  <c r="L14" i="2"/>
  <c r="L15" i="2"/>
  <c r="L11" i="2"/>
  <c r="F87" i="5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I7" i="2"/>
  <c r="I6" i="2"/>
  <c r="I5" i="2"/>
  <c r="I4" i="2"/>
  <c r="I3" i="2"/>
  <c r="H7" i="2"/>
  <c r="H6" i="2"/>
  <c r="H5" i="2"/>
  <c r="H4" i="2"/>
  <c r="H3" i="2"/>
  <c r="G7" i="2"/>
  <c r="G6" i="2"/>
  <c r="G5" i="2"/>
  <c r="G4" i="2"/>
  <c r="G3" i="2"/>
  <c r="E7" i="2"/>
  <c r="E6" i="2"/>
  <c r="E5" i="2"/>
  <c r="E4" i="2"/>
  <c r="E3" i="2"/>
  <c r="D7" i="2"/>
  <c r="D6" i="2"/>
  <c r="D5" i="2"/>
  <c r="D4" i="2"/>
  <c r="D3" i="2"/>
  <c r="F7" i="2"/>
  <c r="F6" i="2"/>
  <c r="F5" i="2"/>
  <c r="F4" i="2"/>
  <c r="F3" i="2"/>
  <c r="D20" i="7"/>
  <c r="D19" i="7"/>
  <c r="D18" i="7"/>
  <c r="D17" i="7"/>
  <c r="D16" i="7"/>
  <c r="D15" i="7"/>
  <c r="D14" i="7"/>
  <c r="D13" i="7"/>
  <c r="D12" i="7"/>
  <c r="D11" i="7"/>
  <c r="D10" i="7"/>
  <c r="D9" i="7"/>
</calcChain>
</file>

<file path=xl/sharedStrings.xml><?xml version="1.0" encoding="utf-8"?>
<sst xmlns="http://schemas.openxmlformats.org/spreadsheetml/2006/main" count="1096" uniqueCount="194">
  <si>
    <t>Source</t>
  </si>
  <si>
    <t>10.1577/M05-121.1</t>
  </si>
  <si>
    <t>Site</t>
  </si>
  <si>
    <t>HF</t>
  </si>
  <si>
    <t>OT</t>
  </si>
  <si>
    <t>-</t>
  </si>
  <si>
    <t>Ave</t>
  </si>
  <si>
    <t>Table B-4</t>
  </si>
  <si>
    <t>Table</t>
  </si>
  <si>
    <t>FishingPressure</t>
  </si>
  <si>
    <t>Table B-3</t>
  </si>
  <si>
    <t>Rangeley Lake</t>
  </si>
  <si>
    <t>Umbagog Lake</t>
  </si>
  <si>
    <t>Type</t>
  </si>
  <si>
    <t>Shoreline</t>
  </si>
  <si>
    <t>Lake Bottom</t>
  </si>
  <si>
    <t>Sinkers_nm2</t>
  </si>
  <si>
    <t>Line_nm2</t>
  </si>
  <si>
    <t>Line_SE</t>
  </si>
  <si>
    <t>Sinkers_SE</t>
  </si>
  <si>
    <t>Other_nm2</t>
  </si>
  <si>
    <t>Hooks-Lures_nm2</t>
  </si>
  <si>
    <t>Hooks-Lures_SE</t>
  </si>
  <si>
    <t>Other_SE</t>
  </si>
  <si>
    <t>Bullets_nm2</t>
  </si>
  <si>
    <t>Bullets_SE</t>
  </si>
  <si>
    <t>Total_SE</t>
  </si>
  <si>
    <t>Total_nm2</t>
  </si>
  <si>
    <t>Henry's Fork</t>
  </si>
  <si>
    <t>Table B-2</t>
  </si>
  <si>
    <t>Pungo District</t>
  </si>
  <si>
    <t>Seney Refuge</t>
  </si>
  <si>
    <t>Table 3</t>
  </si>
  <si>
    <t>Lake of the Woods</t>
  </si>
  <si>
    <t>Mille Lacs</t>
  </si>
  <si>
    <t>Namakan Lake</t>
  </si>
  <si>
    <t>Rainy Lake</t>
  </si>
  <si>
    <t>Jigs_nm2</t>
  </si>
  <si>
    <t>Jigs_SE</t>
  </si>
  <si>
    <t>SplitShotSinkers_nm2</t>
  </si>
  <si>
    <t>SplitShotSinkers_SE</t>
  </si>
  <si>
    <t>LargeSinkers_nm2</t>
  </si>
  <si>
    <t>LargeSinkers_SE</t>
  </si>
  <si>
    <t>Lures_nm2</t>
  </si>
  <si>
    <t>Lures_SE</t>
  </si>
  <si>
    <t>Hooks_nm2</t>
  </si>
  <si>
    <t>Hooks_SE</t>
  </si>
  <si>
    <t>Survey</t>
  </si>
  <si>
    <t>Leech Lake</t>
  </si>
  <si>
    <t>Table 1</t>
  </si>
  <si>
    <t>SiteCategory</t>
  </si>
  <si>
    <t>Total_area_m</t>
  </si>
  <si>
    <t>--</t>
  </si>
  <si>
    <t>Total_number</t>
  </si>
  <si>
    <t>Total_number_95CI</t>
  </si>
  <si>
    <t>On platform</t>
  </si>
  <si>
    <t>Around platform</t>
  </si>
  <si>
    <t>All</t>
  </si>
  <si>
    <t>Thick overgrown vegetation</t>
  </si>
  <si>
    <t>Overgrown Vegetation</t>
  </si>
  <si>
    <t>Mown grass</t>
  </si>
  <si>
    <t>Encircling roadway</t>
  </si>
  <si>
    <t>Open fishing area</t>
  </si>
  <si>
    <t>SinkersMean_density_m2</t>
  </si>
  <si>
    <t>Data Sources</t>
  </si>
  <si>
    <t>Forbes 1986</t>
  </si>
  <si>
    <t>Radomski et al., 2006</t>
  </si>
  <si>
    <t>Forbes, 1986</t>
  </si>
  <si>
    <t>10.1016/0006-3207(86)90017-0</t>
  </si>
  <si>
    <t>https://repository.arizona.edu/bitstream/handle/10150/278698/azu_td_1396508_sip1_m.pdf?sequence=1&amp;isAllowed=y</t>
  </si>
  <si>
    <t>Val</t>
  </si>
  <si>
    <t>min</t>
  </si>
  <si>
    <t>max</t>
  </si>
  <si>
    <t>Notes</t>
  </si>
  <si>
    <t>Unable to locate original reference</t>
  </si>
  <si>
    <t>Cryer et al., 1987</t>
  </si>
  <si>
    <t>https://wildlife.org/wp-content/uploads/2014/05/Lead08-1.pdf</t>
  </si>
  <si>
    <t>Duerr, 1999</t>
  </si>
  <si>
    <t>Table 6</t>
  </si>
  <si>
    <t>Fished gravel pits</t>
  </si>
  <si>
    <t>Oxford</t>
  </si>
  <si>
    <t>Abingdon</t>
  </si>
  <si>
    <t>Reading</t>
  </si>
  <si>
    <t>Windsor</t>
  </si>
  <si>
    <t>Richmond</t>
  </si>
  <si>
    <t>Bed sediments</t>
  </si>
  <si>
    <t>Table 7</t>
  </si>
  <si>
    <t>Table 8</t>
  </si>
  <si>
    <t>Henley</t>
  </si>
  <si>
    <t>Sears, 1988</t>
  </si>
  <si>
    <t>10.1016/0006-3207(88)90095-X</t>
  </si>
  <si>
    <t>Confused about difference between tables 7 &amp; 8. Values in Table 8 are much higher than those in table 6 &amp; 7. Will not include in analysis.</t>
  </si>
  <si>
    <t>Location</t>
  </si>
  <si>
    <t>Llandrindod Wells Lake</t>
  </si>
  <si>
    <t xml:space="preserve">Reference </t>
  </si>
  <si>
    <t>NA</t>
  </si>
  <si>
    <t>Llandrindod Wells Lake, United Kingdom</t>
  </si>
  <si>
    <t>Thames River, United Kingdom</t>
  </si>
  <si>
    <t>Arkansas Nuclear One</t>
  </si>
  <si>
    <t>Canaveral Seashore</t>
  </si>
  <si>
    <t>Merritt Island Refuge</t>
  </si>
  <si>
    <t>Mattamuskeet Refuge</t>
  </si>
  <si>
    <t>Missisquoi Refuge</t>
  </si>
  <si>
    <t>Ruby Lake Refuge</t>
  </si>
  <si>
    <t>Maine, United States</t>
  </si>
  <si>
    <t>Nevada, United States</t>
  </si>
  <si>
    <t>Michigan, United States</t>
  </si>
  <si>
    <t>North Carolina, United States</t>
  </si>
  <si>
    <t>Vermont, United States</t>
  </si>
  <si>
    <t>Idaho, United States</t>
  </si>
  <si>
    <t>Florida, United States</t>
  </si>
  <si>
    <t>Arkansas, United States</t>
  </si>
  <si>
    <t>New Hampshire &amp; Maine, United States</t>
  </si>
  <si>
    <t>Turtle Flambeau</t>
  </si>
  <si>
    <t>Wisconsin, United States</t>
  </si>
  <si>
    <t>Method</t>
  </si>
  <si>
    <t>Direct Collection</t>
  </si>
  <si>
    <t>Angler Survey</t>
  </si>
  <si>
    <t>Minnesota, United States</t>
  </si>
  <si>
    <t>Woodstock Pool</t>
  </si>
  <si>
    <t>Peg 1A strip</t>
  </si>
  <si>
    <t>Peg 1B strip</t>
  </si>
  <si>
    <t>Peg 1C strip</t>
  </si>
  <si>
    <t>Peg 1D strip</t>
  </si>
  <si>
    <t>Peg 1E strip</t>
  </si>
  <si>
    <t>Peg 21A strip</t>
  </si>
  <si>
    <t>Peg 21B strip</t>
  </si>
  <si>
    <t>Peg 21C strip</t>
  </si>
  <si>
    <t>Peg 21D strip</t>
  </si>
  <si>
    <t>Peg 42A strip</t>
  </si>
  <si>
    <t>Peg 42B strip</t>
  </si>
  <si>
    <t>Peg 42C strip</t>
  </si>
  <si>
    <t>Peg 42D strip</t>
  </si>
  <si>
    <t>LeadShot_m2</t>
  </si>
  <si>
    <t>Table 2</t>
  </si>
  <si>
    <t>Bell et al., 1985</t>
  </si>
  <si>
    <t>10.1016/0006-3207(85)90041-2</t>
  </si>
  <si>
    <t>Peg 1</t>
  </si>
  <si>
    <t>Peg 21</t>
  </si>
  <si>
    <t>This study involved a removal of 4-5 cm of bank sediments, thus it appears realtively more thorough than others.</t>
  </si>
  <si>
    <t>Woodstock Pool, United Kingdom</t>
  </si>
  <si>
    <t>Lake Eixendorf, Germany</t>
  </si>
  <si>
    <t>Shads_and_twister_g</t>
  </si>
  <si>
    <t>Jigheads_g</t>
  </si>
  <si>
    <t>Spoons_g</t>
  </si>
  <si>
    <t>Spinner_g</t>
  </si>
  <si>
    <t>Lures_and_jerkbait_g</t>
  </si>
  <si>
    <t>Trolling_devices_g</t>
  </si>
  <si>
    <t>Flies_g</t>
  </si>
  <si>
    <t>Feeder_baskets_g</t>
  </si>
  <si>
    <t>Sinkers_g</t>
  </si>
  <si>
    <t>Boilie_bombs_g</t>
  </si>
  <si>
    <t>Antitangle_boom_g</t>
  </si>
  <si>
    <t>Floats_g</t>
  </si>
  <si>
    <t>Hooks_g</t>
  </si>
  <si>
    <t>Cast_connectors_g</t>
  </si>
  <si>
    <t>Not_classified_g</t>
  </si>
  <si>
    <t>Shads_and_twister_m2</t>
  </si>
  <si>
    <t>Jigheads_m2</t>
  </si>
  <si>
    <t>Spoons_m2</t>
  </si>
  <si>
    <t>Spinner_m2</t>
  </si>
  <si>
    <t>Lures_and_jerkbait_m2</t>
  </si>
  <si>
    <t>Trolling_devices_m2</t>
  </si>
  <si>
    <t>Flies_m2</t>
  </si>
  <si>
    <t>Feeder_baskets_m2</t>
  </si>
  <si>
    <t>Sinkers_m2</t>
  </si>
  <si>
    <t>Boilie_bombs_m2</t>
  </si>
  <si>
    <t>Antitangle_boom_m2</t>
  </si>
  <si>
    <t>Floats_m2</t>
  </si>
  <si>
    <t>Hooks_m2</t>
  </si>
  <si>
    <t>Cast_connectors_m2</t>
  </si>
  <si>
    <t>Not_classified_m2</t>
  </si>
  <si>
    <t>Average mass</t>
  </si>
  <si>
    <t>Pander er al., 2022</t>
  </si>
  <si>
    <t>Avg_sinker_mass_g</t>
  </si>
  <si>
    <t>LargeSinkers_n</t>
  </si>
  <si>
    <t>LargeSinkers_n_SE</t>
  </si>
  <si>
    <t>SplitShotSinkers_n_SE</t>
  </si>
  <si>
    <t>SplitShotSinkers_n</t>
  </si>
  <si>
    <t>LargeSinkers_kg</t>
  </si>
  <si>
    <t>LargeSinkers_kg_SE</t>
  </si>
  <si>
    <t>SplitShotSinkers_kg</t>
  </si>
  <si>
    <t>SplitShotSinkers_kg_SE</t>
  </si>
  <si>
    <t>Roath Park Lake, United Kingdom</t>
  </si>
  <si>
    <t>Hendre Lake, United Kingdom</t>
  </si>
  <si>
    <t>Tredegar Park, United Kingdom</t>
  </si>
  <si>
    <t>Town Pool, United Kingdom</t>
  </si>
  <si>
    <t>Bridge Sollers, United Kingdom</t>
  </si>
  <si>
    <t>Table 5</t>
  </si>
  <si>
    <t>High intensity</t>
  </si>
  <si>
    <t>Moderate intensity</t>
  </si>
  <si>
    <t>Low intensity</t>
  </si>
  <si>
    <t>Very low intensity</t>
  </si>
  <si>
    <t>Ross-on-Wye,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</si>
</sst>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3" fillId="0" borderId="0" xfId="1"/>
    <xf numFmtId="0" fontId="1" fillId="0" borderId="0" xfId="0" applyFont="1"/>
    <xf numFmtId="3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ildlife.org/wp-content/uploads/2014/05/Lead08-1.pdf" TargetMode="External"/><Relationship Id="rId2" Type="http://schemas.openxmlformats.org/officeDocument/2006/relationships/hyperlink" Target="https://repository.arizona.edu/bitstream/handle/10150/278698/azu_td_1396508_sip1_m.pdf?sequence=1&amp;isAllowed=y" TargetMode="External"/><Relationship Id="rId1" Type="http://schemas.openxmlformats.org/officeDocument/2006/relationships/hyperlink" Target="https://doi.org/10.1016/0006-3207(86)90017-0" TargetMode="External"/><Relationship Id="rId6" Type="http://schemas.openxmlformats.org/officeDocument/2006/relationships/hyperlink" Target="https://doi.org/10.1016/0006-3207(85)90041-2" TargetMode="External"/><Relationship Id="rId5" Type="http://schemas.openxmlformats.org/officeDocument/2006/relationships/hyperlink" Target="https://doi.org/10.1577/M05-121.1" TargetMode="External"/><Relationship Id="rId4" Type="http://schemas.openxmlformats.org/officeDocument/2006/relationships/hyperlink" Target="https://doi.org/10.1016/0006-3207(88)90095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1ACB-67B1-4BE2-AE2C-9021FC35DAFB}">
  <dimension ref="A1:I87"/>
  <sheetViews>
    <sheetView tabSelected="1" workbookViewId="0">
      <pane ySplit="1" topLeftCell="A23" activePane="bottomLeft" state="frozen"/>
      <selection pane="bottomLeft" activeCell="B36" sqref="B36:B38"/>
    </sheetView>
  </sheetViews>
  <sheetFormatPr defaultRowHeight="14.5" x14ac:dyDescent="0.35"/>
  <cols>
    <col min="2" max="2" width="34.7265625" bestFit="1" customWidth="1"/>
    <col min="3" max="3" width="24" bestFit="1" customWidth="1"/>
    <col min="4" max="4" width="24" customWidth="1"/>
    <col min="5" max="5" width="13.08984375" bestFit="1" customWidth="1"/>
    <col min="6" max="6" width="22.453125" bestFit="1" customWidth="1"/>
    <col min="7" max="7" width="12.6328125" bestFit="1" customWidth="1"/>
    <col min="8" max="8" width="17.1796875" bestFit="1" customWidth="1"/>
    <col min="9" max="9" width="18.54296875" bestFit="1" customWidth="1"/>
  </cols>
  <sheetData>
    <row r="1" spans="1:9" x14ac:dyDescent="0.35">
      <c r="A1" t="s">
        <v>8</v>
      </c>
      <c r="B1" t="s">
        <v>92</v>
      </c>
      <c r="C1" t="s">
        <v>2</v>
      </c>
      <c r="D1" t="s">
        <v>115</v>
      </c>
      <c r="E1" t="s">
        <v>13</v>
      </c>
      <c r="F1" t="s">
        <v>16</v>
      </c>
      <c r="G1" t="s">
        <v>19</v>
      </c>
      <c r="H1" t="s">
        <v>174</v>
      </c>
      <c r="I1" t="s">
        <v>94</v>
      </c>
    </row>
    <row r="2" spans="1:9" x14ac:dyDescent="0.35">
      <c r="A2" t="s">
        <v>134</v>
      </c>
      <c r="B2" t="s">
        <v>140</v>
      </c>
      <c r="C2" t="s">
        <v>120</v>
      </c>
      <c r="D2" t="s">
        <v>116</v>
      </c>
      <c r="E2" t="s">
        <v>14</v>
      </c>
      <c r="F2">
        <v>201</v>
      </c>
      <c r="G2" t="s">
        <v>95</v>
      </c>
      <c r="H2" t="s">
        <v>95</v>
      </c>
      <c r="I2" t="s">
        <v>135</v>
      </c>
    </row>
    <row r="3" spans="1:9" x14ac:dyDescent="0.35">
      <c r="A3" t="s">
        <v>134</v>
      </c>
      <c r="B3" t="s">
        <v>140</v>
      </c>
      <c r="C3" t="s">
        <v>121</v>
      </c>
      <c r="D3" t="s">
        <v>116</v>
      </c>
      <c r="E3" t="s">
        <v>14</v>
      </c>
      <c r="F3">
        <v>177</v>
      </c>
      <c r="G3" t="s">
        <v>95</v>
      </c>
      <c r="H3" t="s">
        <v>95</v>
      </c>
      <c r="I3" t="s">
        <v>135</v>
      </c>
    </row>
    <row r="4" spans="1:9" x14ac:dyDescent="0.35">
      <c r="A4" t="s">
        <v>134</v>
      </c>
      <c r="B4" t="s">
        <v>140</v>
      </c>
      <c r="C4" t="s">
        <v>122</v>
      </c>
      <c r="D4" t="s">
        <v>116</v>
      </c>
      <c r="E4" t="s">
        <v>14</v>
      </c>
      <c r="F4">
        <v>39</v>
      </c>
      <c r="G4" t="s">
        <v>95</v>
      </c>
      <c r="H4" t="s">
        <v>95</v>
      </c>
      <c r="I4" t="s">
        <v>135</v>
      </c>
    </row>
    <row r="5" spans="1:9" x14ac:dyDescent="0.35">
      <c r="A5" t="s">
        <v>134</v>
      </c>
      <c r="B5" t="s">
        <v>140</v>
      </c>
      <c r="C5" t="s">
        <v>123</v>
      </c>
      <c r="D5" t="s">
        <v>116</v>
      </c>
      <c r="E5" t="s">
        <v>14</v>
      </c>
      <c r="F5">
        <v>46</v>
      </c>
      <c r="G5" t="s">
        <v>95</v>
      </c>
      <c r="H5" t="s">
        <v>95</v>
      </c>
      <c r="I5" t="s">
        <v>135</v>
      </c>
    </row>
    <row r="6" spans="1:9" x14ac:dyDescent="0.35">
      <c r="A6" t="s">
        <v>134</v>
      </c>
      <c r="B6" t="s">
        <v>140</v>
      </c>
      <c r="C6" t="s">
        <v>124</v>
      </c>
      <c r="D6" t="s">
        <v>116</v>
      </c>
      <c r="E6" t="s">
        <v>14</v>
      </c>
      <c r="F6">
        <v>72</v>
      </c>
      <c r="G6" t="s">
        <v>95</v>
      </c>
      <c r="H6" t="s">
        <v>95</v>
      </c>
      <c r="I6" t="s">
        <v>135</v>
      </c>
    </row>
    <row r="7" spans="1:9" x14ac:dyDescent="0.35">
      <c r="A7" t="s">
        <v>134</v>
      </c>
      <c r="B7" t="s">
        <v>140</v>
      </c>
      <c r="C7" t="s">
        <v>125</v>
      </c>
      <c r="D7" t="s">
        <v>116</v>
      </c>
      <c r="E7" t="s">
        <v>14</v>
      </c>
      <c r="F7">
        <v>339</v>
      </c>
      <c r="G7" t="s">
        <v>95</v>
      </c>
      <c r="H7" t="s">
        <v>95</v>
      </c>
      <c r="I7" t="s">
        <v>135</v>
      </c>
    </row>
    <row r="8" spans="1:9" x14ac:dyDescent="0.35">
      <c r="A8" t="s">
        <v>134</v>
      </c>
      <c r="B8" t="s">
        <v>140</v>
      </c>
      <c r="C8" t="s">
        <v>126</v>
      </c>
      <c r="D8" t="s">
        <v>116</v>
      </c>
      <c r="E8" t="s">
        <v>14</v>
      </c>
      <c r="F8">
        <v>197</v>
      </c>
      <c r="G8" t="s">
        <v>95</v>
      </c>
      <c r="H8" t="s">
        <v>95</v>
      </c>
      <c r="I8" t="s">
        <v>135</v>
      </c>
    </row>
    <row r="9" spans="1:9" x14ac:dyDescent="0.35">
      <c r="A9" t="s">
        <v>134</v>
      </c>
      <c r="B9" t="s">
        <v>140</v>
      </c>
      <c r="C9" t="s">
        <v>127</v>
      </c>
      <c r="D9" t="s">
        <v>116</v>
      </c>
      <c r="E9" t="s">
        <v>14</v>
      </c>
      <c r="F9">
        <v>47</v>
      </c>
      <c r="G9" t="s">
        <v>95</v>
      </c>
      <c r="H9" t="s">
        <v>95</v>
      </c>
      <c r="I9" t="s">
        <v>135</v>
      </c>
    </row>
    <row r="10" spans="1:9" x14ac:dyDescent="0.35">
      <c r="A10" t="s">
        <v>134</v>
      </c>
      <c r="B10" t="s">
        <v>140</v>
      </c>
      <c r="C10" t="s">
        <v>128</v>
      </c>
      <c r="D10" t="s">
        <v>116</v>
      </c>
      <c r="E10" t="s">
        <v>14</v>
      </c>
      <c r="F10">
        <v>26</v>
      </c>
      <c r="G10" t="s">
        <v>95</v>
      </c>
      <c r="H10" t="s">
        <v>95</v>
      </c>
      <c r="I10" t="s">
        <v>135</v>
      </c>
    </row>
    <row r="11" spans="1:9" x14ac:dyDescent="0.35">
      <c r="A11" t="s">
        <v>134</v>
      </c>
      <c r="B11" t="s">
        <v>140</v>
      </c>
      <c r="C11" t="s">
        <v>129</v>
      </c>
      <c r="D11" t="s">
        <v>116</v>
      </c>
      <c r="E11" t="s">
        <v>14</v>
      </c>
      <c r="F11">
        <v>144</v>
      </c>
      <c r="G11" t="s">
        <v>95</v>
      </c>
      <c r="H11" t="s">
        <v>95</v>
      </c>
      <c r="I11" t="s">
        <v>135</v>
      </c>
    </row>
    <row r="12" spans="1:9" x14ac:dyDescent="0.35">
      <c r="A12" t="s">
        <v>134</v>
      </c>
      <c r="B12" t="s">
        <v>140</v>
      </c>
      <c r="C12" t="s">
        <v>130</v>
      </c>
      <c r="D12" t="s">
        <v>116</v>
      </c>
      <c r="E12" t="s">
        <v>14</v>
      </c>
      <c r="F12">
        <v>127</v>
      </c>
      <c r="G12" t="s">
        <v>95</v>
      </c>
      <c r="H12" t="s">
        <v>95</v>
      </c>
      <c r="I12" t="s">
        <v>135</v>
      </c>
    </row>
    <row r="13" spans="1:9" x14ac:dyDescent="0.35">
      <c r="A13" t="s">
        <v>134</v>
      </c>
      <c r="B13" t="s">
        <v>140</v>
      </c>
      <c r="C13" t="s">
        <v>131</v>
      </c>
      <c r="D13" t="s">
        <v>116</v>
      </c>
      <c r="E13" t="s">
        <v>14</v>
      </c>
      <c r="F13">
        <v>67</v>
      </c>
      <c r="G13" t="s">
        <v>95</v>
      </c>
      <c r="H13" t="s">
        <v>95</v>
      </c>
      <c r="I13" t="s">
        <v>135</v>
      </c>
    </row>
    <row r="14" spans="1:9" x14ac:dyDescent="0.35">
      <c r="A14" t="s">
        <v>134</v>
      </c>
      <c r="B14" t="s">
        <v>140</v>
      </c>
      <c r="C14" t="s">
        <v>132</v>
      </c>
      <c r="D14" t="s">
        <v>116</v>
      </c>
      <c r="E14" t="s">
        <v>14</v>
      </c>
      <c r="F14">
        <v>84</v>
      </c>
      <c r="G14" t="s">
        <v>95</v>
      </c>
      <c r="H14" t="s">
        <v>95</v>
      </c>
      <c r="I14" t="s">
        <v>135</v>
      </c>
    </row>
    <row r="15" spans="1:9" x14ac:dyDescent="0.35">
      <c r="A15" t="s">
        <v>32</v>
      </c>
      <c r="B15" t="s">
        <v>140</v>
      </c>
      <c r="C15" t="s">
        <v>137</v>
      </c>
      <c r="D15" t="s">
        <v>116</v>
      </c>
      <c r="E15" t="s">
        <v>14</v>
      </c>
      <c r="F15">
        <v>119</v>
      </c>
      <c r="G15" t="s">
        <v>95</v>
      </c>
      <c r="H15" t="s">
        <v>95</v>
      </c>
      <c r="I15" t="s">
        <v>135</v>
      </c>
    </row>
    <row r="16" spans="1:9" x14ac:dyDescent="0.35">
      <c r="A16" t="s">
        <v>32</v>
      </c>
      <c r="B16" t="s">
        <v>140</v>
      </c>
      <c r="C16" t="s">
        <v>138</v>
      </c>
      <c r="D16" t="s">
        <v>116</v>
      </c>
      <c r="E16" t="s">
        <v>14</v>
      </c>
      <c r="F16">
        <v>117</v>
      </c>
      <c r="G16" t="s">
        <v>95</v>
      </c>
      <c r="H16" t="s">
        <v>95</v>
      </c>
      <c r="I16" t="s">
        <v>135</v>
      </c>
    </row>
    <row r="17" spans="1:9" x14ac:dyDescent="0.35">
      <c r="A17" t="s">
        <v>49</v>
      </c>
      <c r="B17" t="s">
        <v>96</v>
      </c>
      <c r="C17" t="s">
        <v>55</v>
      </c>
      <c r="D17" t="s">
        <v>116</v>
      </c>
      <c r="E17" t="s">
        <v>14</v>
      </c>
      <c r="F17">
        <v>90.3</v>
      </c>
      <c r="G17" t="s">
        <v>95</v>
      </c>
      <c r="H17" t="s">
        <v>95</v>
      </c>
      <c r="I17" t="s">
        <v>65</v>
      </c>
    </row>
    <row r="18" spans="1:9" x14ac:dyDescent="0.35">
      <c r="A18" t="s">
        <v>49</v>
      </c>
      <c r="B18" t="s">
        <v>96</v>
      </c>
      <c r="C18" t="s">
        <v>56</v>
      </c>
      <c r="D18" t="s">
        <v>116</v>
      </c>
      <c r="E18" t="s">
        <v>14</v>
      </c>
      <c r="F18">
        <v>21.2</v>
      </c>
      <c r="G18" t="s">
        <v>95</v>
      </c>
      <c r="H18" t="s">
        <v>95</v>
      </c>
      <c r="I18" t="s">
        <v>65</v>
      </c>
    </row>
    <row r="19" spans="1:9" x14ac:dyDescent="0.35">
      <c r="A19" t="s">
        <v>49</v>
      </c>
      <c r="B19" t="s">
        <v>96</v>
      </c>
      <c r="C19" t="s">
        <v>55</v>
      </c>
      <c r="D19" t="s">
        <v>116</v>
      </c>
      <c r="E19" t="s">
        <v>14</v>
      </c>
      <c r="F19">
        <v>27.4</v>
      </c>
      <c r="G19" t="s">
        <v>95</v>
      </c>
      <c r="H19" t="s">
        <v>95</v>
      </c>
      <c r="I19" t="s">
        <v>65</v>
      </c>
    </row>
    <row r="20" spans="1:9" x14ac:dyDescent="0.35">
      <c r="A20" t="s">
        <v>49</v>
      </c>
      <c r="B20" t="s">
        <v>96</v>
      </c>
      <c r="C20" t="s">
        <v>56</v>
      </c>
      <c r="D20" t="s">
        <v>116</v>
      </c>
      <c r="E20" t="s">
        <v>14</v>
      </c>
      <c r="F20">
        <v>14.2</v>
      </c>
      <c r="G20" t="s">
        <v>95</v>
      </c>
      <c r="H20" t="s">
        <v>95</v>
      </c>
      <c r="I20" t="s">
        <v>65</v>
      </c>
    </row>
    <row r="21" spans="1:9" x14ac:dyDescent="0.35">
      <c r="A21" t="s">
        <v>49</v>
      </c>
      <c r="B21" t="s">
        <v>96</v>
      </c>
      <c r="C21" t="s">
        <v>62</v>
      </c>
      <c r="D21" t="s">
        <v>116</v>
      </c>
      <c r="E21" t="s">
        <v>14</v>
      </c>
      <c r="F21">
        <v>17.3</v>
      </c>
      <c r="G21" t="s">
        <v>95</v>
      </c>
      <c r="H21" t="s">
        <v>95</v>
      </c>
      <c r="I21" t="s">
        <v>65</v>
      </c>
    </row>
    <row r="22" spans="1:9" x14ac:dyDescent="0.35">
      <c r="A22" t="s">
        <v>49</v>
      </c>
      <c r="B22" t="s">
        <v>96</v>
      </c>
      <c r="C22" t="s">
        <v>61</v>
      </c>
      <c r="D22" t="s">
        <v>116</v>
      </c>
      <c r="E22" t="s">
        <v>14</v>
      </c>
      <c r="F22">
        <v>0.7</v>
      </c>
      <c r="G22" t="s">
        <v>95</v>
      </c>
      <c r="H22" t="s">
        <v>95</v>
      </c>
      <c r="I22" t="s">
        <v>65</v>
      </c>
    </row>
    <row r="23" spans="1:9" x14ac:dyDescent="0.35">
      <c r="A23" t="s">
        <v>49</v>
      </c>
      <c r="B23" t="s">
        <v>96</v>
      </c>
      <c r="C23" t="s">
        <v>61</v>
      </c>
      <c r="D23" t="s">
        <v>116</v>
      </c>
      <c r="E23" t="s">
        <v>14</v>
      </c>
      <c r="F23">
        <v>0</v>
      </c>
      <c r="G23" t="s">
        <v>95</v>
      </c>
      <c r="H23" t="s">
        <v>95</v>
      </c>
      <c r="I23" t="s">
        <v>65</v>
      </c>
    </row>
    <row r="24" spans="1:9" x14ac:dyDescent="0.35">
      <c r="A24" t="s">
        <v>49</v>
      </c>
      <c r="B24" t="s">
        <v>96</v>
      </c>
      <c r="C24" t="s">
        <v>60</v>
      </c>
      <c r="D24" t="s">
        <v>116</v>
      </c>
      <c r="E24" t="s">
        <v>14</v>
      </c>
      <c r="F24">
        <v>0</v>
      </c>
      <c r="G24" t="s">
        <v>95</v>
      </c>
      <c r="H24" t="s">
        <v>95</v>
      </c>
      <c r="I24" t="s">
        <v>65</v>
      </c>
    </row>
    <row r="25" spans="1:9" x14ac:dyDescent="0.35">
      <c r="A25" t="s">
        <v>49</v>
      </c>
      <c r="B25" t="s">
        <v>96</v>
      </c>
      <c r="C25" t="s">
        <v>59</v>
      </c>
      <c r="D25" t="s">
        <v>116</v>
      </c>
      <c r="E25" t="s">
        <v>14</v>
      </c>
      <c r="F25">
        <v>0</v>
      </c>
      <c r="G25" t="s">
        <v>95</v>
      </c>
      <c r="H25" t="s">
        <v>95</v>
      </c>
      <c r="I25" t="s">
        <v>65</v>
      </c>
    </row>
    <row r="26" spans="1:9" x14ac:dyDescent="0.35">
      <c r="A26" t="s">
        <v>49</v>
      </c>
      <c r="B26" t="s">
        <v>96</v>
      </c>
      <c r="C26" t="s">
        <v>59</v>
      </c>
      <c r="D26" t="s">
        <v>116</v>
      </c>
      <c r="E26" t="s">
        <v>14</v>
      </c>
      <c r="F26">
        <v>0</v>
      </c>
      <c r="G26" t="s">
        <v>95</v>
      </c>
      <c r="H26" t="s">
        <v>95</v>
      </c>
      <c r="I26" t="s">
        <v>65</v>
      </c>
    </row>
    <row r="27" spans="1:9" x14ac:dyDescent="0.35">
      <c r="A27" t="s">
        <v>49</v>
      </c>
      <c r="B27" t="s">
        <v>96</v>
      </c>
      <c r="C27" t="s">
        <v>58</v>
      </c>
      <c r="D27" t="s">
        <v>116</v>
      </c>
      <c r="E27" t="s">
        <v>14</v>
      </c>
      <c r="F27">
        <v>0</v>
      </c>
      <c r="G27" t="s">
        <v>95</v>
      </c>
      <c r="H27" t="s">
        <v>95</v>
      </c>
      <c r="I27" t="s">
        <v>65</v>
      </c>
    </row>
    <row r="28" spans="1:9" x14ac:dyDescent="0.35">
      <c r="A28" t="s">
        <v>188</v>
      </c>
      <c r="B28" t="s">
        <v>184</v>
      </c>
      <c r="C28" t="s">
        <v>189</v>
      </c>
      <c r="D28" t="s">
        <v>116</v>
      </c>
      <c r="E28" t="s">
        <v>14</v>
      </c>
      <c r="F28">
        <v>91.58</v>
      </c>
      <c r="G28">
        <v>58.4</v>
      </c>
      <c r="H28" t="s">
        <v>95</v>
      </c>
      <c r="I28" t="s">
        <v>75</v>
      </c>
    </row>
    <row r="29" spans="1:9" x14ac:dyDescent="0.35">
      <c r="A29" t="s">
        <v>188</v>
      </c>
      <c r="B29" t="s">
        <v>184</v>
      </c>
      <c r="C29" t="s">
        <v>190</v>
      </c>
      <c r="D29" t="s">
        <v>116</v>
      </c>
      <c r="E29" t="s">
        <v>14</v>
      </c>
      <c r="F29">
        <v>33.299999999999997</v>
      </c>
      <c r="G29">
        <v>18.739999999999998</v>
      </c>
      <c r="H29" t="s">
        <v>95</v>
      </c>
      <c r="I29" t="s">
        <v>75</v>
      </c>
    </row>
    <row r="30" spans="1:9" x14ac:dyDescent="0.35">
      <c r="A30" t="s">
        <v>188</v>
      </c>
      <c r="B30" t="s">
        <v>184</v>
      </c>
      <c r="C30" t="s">
        <v>191</v>
      </c>
      <c r="D30" t="s">
        <v>116</v>
      </c>
      <c r="E30" t="s">
        <v>14</v>
      </c>
      <c r="F30">
        <v>29.66</v>
      </c>
      <c r="G30">
        <v>19.059999999999999</v>
      </c>
      <c r="H30" t="s">
        <v>95</v>
      </c>
      <c r="I30" t="s">
        <v>75</v>
      </c>
    </row>
    <row r="31" spans="1:9" x14ac:dyDescent="0.35">
      <c r="A31" t="s">
        <v>188</v>
      </c>
      <c r="B31" t="s">
        <v>186</v>
      </c>
      <c r="C31" t="s">
        <v>189</v>
      </c>
      <c r="D31" t="s">
        <v>116</v>
      </c>
      <c r="E31" t="s">
        <v>14</v>
      </c>
      <c r="F31">
        <v>211.83</v>
      </c>
      <c r="G31">
        <v>56.11</v>
      </c>
      <c r="H31" t="s">
        <v>95</v>
      </c>
      <c r="I31" t="s">
        <v>75</v>
      </c>
    </row>
    <row r="32" spans="1:9" x14ac:dyDescent="0.35">
      <c r="A32" t="s">
        <v>188</v>
      </c>
      <c r="B32" t="s">
        <v>186</v>
      </c>
      <c r="C32" t="s">
        <v>189</v>
      </c>
      <c r="D32" t="s">
        <v>116</v>
      </c>
      <c r="E32" t="s">
        <v>14</v>
      </c>
      <c r="F32">
        <v>298.58</v>
      </c>
      <c r="G32">
        <v>66.41</v>
      </c>
      <c r="H32" t="s">
        <v>95</v>
      </c>
      <c r="I32" t="s">
        <v>75</v>
      </c>
    </row>
    <row r="33" spans="1:9" x14ac:dyDescent="0.35">
      <c r="A33" t="s">
        <v>188</v>
      </c>
      <c r="B33" t="s">
        <v>183</v>
      </c>
      <c r="C33" t="s">
        <v>189</v>
      </c>
      <c r="D33" t="s">
        <v>116</v>
      </c>
      <c r="E33" t="s">
        <v>14</v>
      </c>
      <c r="F33">
        <v>235.28</v>
      </c>
      <c r="G33">
        <v>74.8</v>
      </c>
      <c r="H33" t="s">
        <v>95</v>
      </c>
      <c r="I33" t="s">
        <v>75</v>
      </c>
    </row>
    <row r="34" spans="1:9" x14ac:dyDescent="0.35">
      <c r="A34" t="s">
        <v>188</v>
      </c>
      <c r="B34" t="s">
        <v>185</v>
      </c>
      <c r="C34" t="s">
        <v>190</v>
      </c>
      <c r="D34" t="s">
        <v>116</v>
      </c>
      <c r="E34" t="s">
        <v>14</v>
      </c>
      <c r="F34">
        <v>73.87</v>
      </c>
      <c r="G34">
        <v>35.159999999999997</v>
      </c>
      <c r="H34" t="s">
        <v>95</v>
      </c>
      <c r="I34" t="s">
        <v>75</v>
      </c>
    </row>
    <row r="35" spans="1:9" x14ac:dyDescent="0.35">
      <c r="A35" t="s">
        <v>188</v>
      </c>
      <c r="B35" t="s">
        <v>185</v>
      </c>
      <c r="C35" t="s">
        <v>191</v>
      </c>
      <c r="D35" t="s">
        <v>116</v>
      </c>
      <c r="E35" t="s">
        <v>14</v>
      </c>
      <c r="F35">
        <v>36.25</v>
      </c>
      <c r="G35">
        <v>22.45</v>
      </c>
      <c r="H35" t="s">
        <v>95</v>
      </c>
      <c r="I35" t="s">
        <v>75</v>
      </c>
    </row>
    <row r="36" spans="1:9" x14ac:dyDescent="0.35">
      <c r="A36" t="s">
        <v>188</v>
      </c>
      <c r="B36" t="s">
        <v>193</v>
      </c>
      <c r="C36" t="s">
        <v>189</v>
      </c>
      <c r="D36" t="s">
        <v>116</v>
      </c>
      <c r="E36" t="s">
        <v>14</v>
      </c>
      <c r="F36">
        <v>111</v>
      </c>
      <c r="G36">
        <v>53.96</v>
      </c>
      <c r="H36" t="s">
        <v>95</v>
      </c>
      <c r="I36" t="s">
        <v>75</v>
      </c>
    </row>
    <row r="37" spans="1:9" x14ac:dyDescent="0.35">
      <c r="A37" t="s">
        <v>188</v>
      </c>
      <c r="B37" t="s">
        <v>193</v>
      </c>
      <c r="C37" t="s">
        <v>191</v>
      </c>
      <c r="D37" t="s">
        <v>116</v>
      </c>
      <c r="E37" t="s">
        <v>14</v>
      </c>
      <c r="F37">
        <v>24.7</v>
      </c>
      <c r="G37">
        <v>21.32</v>
      </c>
      <c r="H37" t="s">
        <v>95</v>
      </c>
      <c r="I37" t="s">
        <v>75</v>
      </c>
    </row>
    <row r="38" spans="1:9" x14ac:dyDescent="0.35">
      <c r="A38" t="s">
        <v>188</v>
      </c>
      <c r="B38" t="s">
        <v>193</v>
      </c>
      <c r="C38" t="s">
        <v>191</v>
      </c>
      <c r="D38" t="s">
        <v>116</v>
      </c>
      <c r="E38" t="s">
        <v>14</v>
      </c>
      <c r="F38">
        <v>5.35</v>
      </c>
      <c r="G38">
        <v>4.63</v>
      </c>
      <c r="H38" t="s">
        <v>95</v>
      </c>
      <c r="I38" t="s">
        <v>75</v>
      </c>
    </row>
    <row r="39" spans="1:9" x14ac:dyDescent="0.35">
      <c r="A39" t="s">
        <v>188</v>
      </c>
      <c r="B39" t="s">
        <v>187</v>
      </c>
      <c r="C39" t="s">
        <v>192</v>
      </c>
      <c r="D39" t="s">
        <v>116</v>
      </c>
      <c r="E39" t="s">
        <v>14</v>
      </c>
      <c r="F39">
        <v>0</v>
      </c>
      <c r="G39" t="s">
        <v>95</v>
      </c>
      <c r="H39" t="s">
        <v>95</v>
      </c>
      <c r="I39" t="s">
        <v>75</v>
      </c>
    </row>
    <row r="40" spans="1:9" x14ac:dyDescent="0.35">
      <c r="A40" t="s">
        <v>78</v>
      </c>
      <c r="B40" t="s">
        <v>97</v>
      </c>
      <c r="C40" t="s">
        <v>79</v>
      </c>
      <c r="D40" t="s">
        <v>116</v>
      </c>
      <c r="E40" t="s">
        <v>85</v>
      </c>
      <c r="F40">
        <v>2.1</v>
      </c>
      <c r="G40" t="s">
        <v>95</v>
      </c>
      <c r="H40" t="s">
        <v>95</v>
      </c>
      <c r="I40" t="s">
        <v>89</v>
      </c>
    </row>
    <row r="41" spans="1:9" x14ac:dyDescent="0.35">
      <c r="A41" t="s">
        <v>78</v>
      </c>
      <c r="B41" t="s">
        <v>97</v>
      </c>
      <c r="C41" t="s">
        <v>80</v>
      </c>
      <c r="D41" t="s">
        <v>116</v>
      </c>
      <c r="E41" t="s">
        <v>85</v>
      </c>
      <c r="F41">
        <v>4.3</v>
      </c>
      <c r="G41" t="s">
        <v>95</v>
      </c>
      <c r="H41" t="s">
        <v>95</v>
      </c>
      <c r="I41" t="s">
        <v>89</v>
      </c>
    </row>
    <row r="42" spans="1:9" x14ac:dyDescent="0.35">
      <c r="A42" t="s">
        <v>78</v>
      </c>
      <c r="B42" t="s">
        <v>97</v>
      </c>
      <c r="C42" t="s">
        <v>81</v>
      </c>
      <c r="D42" t="s">
        <v>116</v>
      </c>
      <c r="E42" t="s">
        <v>85</v>
      </c>
      <c r="F42">
        <v>1.3</v>
      </c>
      <c r="G42" t="s">
        <v>95</v>
      </c>
      <c r="H42" t="s">
        <v>95</v>
      </c>
      <c r="I42" t="s">
        <v>89</v>
      </c>
    </row>
    <row r="43" spans="1:9" x14ac:dyDescent="0.35">
      <c r="A43" t="s">
        <v>78</v>
      </c>
      <c r="B43" t="s">
        <v>97</v>
      </c>
      <c r="C43" t="s">
        <v>82</v>
      </c>
      <c r="D43" t="s">
        <v>116</v>
      </c>
      <c r="E43" t="s">
        <v>85</v>
      </c>
      <c r="F43">
        <v>0.9</v>
      </c>
      <c r="G43" t="s">
        <v>95</v>
      </c>
      <c r="H43" t="s">
        <v>95</v>
      </c>
      <c r="I43" t="s">
        <v>89</v>
      </c>
    </row>
    <row r="44" spans="1:9" x14ac:dyDescent="0.35">
      <c r="A44" t="s">
        <v>78</v>
      </c>
      <c r="B44" t="s">
        <v>97</v>
      </c>
      <c r="C44" t="s">
        <v>88</v>
      </c>
      <c r="D44" t="s">
        <v>116</v>
      </c>
      <c r="E44" t="s">
        <v>85</v>
      </c>
      <c r="F44">
        <v>1.5</v>
      </c>
      <c r="G44" t="s">
        <v>95</v>
      </c>
      <c r="H44" t="s">
        <v>95</v>
      </c>
      <c r="I44" t="s">
        <v>89</v>
      </c>
    </row>
    <row r="45" spans="1:9" x14ac:dyDescent="0.35">
      <c r="A45" t="s">
        <v>78</v>
      </c>
      <c r="B45" t="s">
        <v>97</v>
      </c>
      <c r="C45" t="s">
        <v>83</v>
      </c>
      <c r="D45" t="s">
        <v>116</v>
      </c>
      <c r="E45" t="s">
        <v>85</v>
      </c>
      <c r="F45">
        <v>6.2</v>
      </c>
      <c r="G45" t="s">
        <v>95</v>
      </c>
      <c r="H45" t="s">
        <v>95</v>
      </c>
      <c r="I45" t="s">
        <v>89</v>
      </c>
    </row>
    <row r="46" spans="1:9" x14ac:dyDescent="0.35">
      <c r="A46" t="s">
        <v>78</v>
      </c>
      <c r="B46" t="s">
        <v>97</v>
      </c>
      <c r="C46" t="s">
        <v>84</v>
      </c>
      <c r="D46" t="s">
        <v>116</v>
      </c>
      <c r="E46" t="s">
        <v>85</v>
      </c>
      <c r="F46">
        <v>11.4</v>
      </c>
      <c r="G46" t="s">
        <v>95</v>
      </c>
      <c r="H46" t="s">
        <v>95</v>
      </c>
      <c r="I46" t="s">
        <v>89</v>
      </c>
    </row>
    <row r="47" spans="1:9" x14ac:dyDescent="0.35">
      <c r="A47" t="s">
        <v>86</v>
      </c>
      <c r="B47" t="s">
        <v>97</v>
      </c>
      <c r="C47" t="s">
        <v>80</v>
      </c>
      <c r="D47" t="s">
        <v>116</v>
      </c>
      <c r="E47" t="s">
        <v>14</v>
      </c>
      <c r="F47">
        <v>2.5499999999999998</v>
      </c>
      <c r="G47" t="s">
        <v>95</v>
      </c>
      <c r="H47">
        <v>0.38</v>
      </c>
      <c r="I47" t="s">
        <v>89</v>
      </c>
    </row>
    <row r="48" spans="1:9" x14ac:dyDescent="0.35">
      <c r="A48" t="s">
        <v>86</v>
      </c>
      <c r="B48" t="s">
        <v>97</v>
      </c>
      <c r="C48" t="s">
        <v>81</v>
      </c>
      <c r="D48" t="s">
        <v>116</v>
      </c>
      <c r="E48" t="s">
        <v>14</v>
      </c>
      <c r="F48">
        <v>2.72</v>
      </c>
      <c r="G48" t="s">
        <v>95</v>
      </c>
      <c r="H48">
        <v>0.30599999999999999</v>
      </c>
      <c r="I48" t="s">
        <v>89</v>
      </c>
    </row>
    <row r="49" spans="1:9" x14ac:dyDescent="0.35">
      <c r="A49" t="s">
        <v>86</v>
      </c>
      <c r="B49" t="s">
        <v>97</v>
      </c>
      <c r="C49" t="s">
        <v>82</v>
      </c>
      <c r="D49" t="s">
        <v>116</v>
      </c>
      <c r="E49" t="s">
        <v>14</v>
      </c>
      <c r="F49">
        <v>1.03</v>
      </c>
      <c r="G49" t="s">
        <v>95</v>
      </c>
      <c r="H49">
        <v>0.28999999999999998</v>
      </c>
      <c r="I49" t="s">
        <v>89</v>
      </c>
    </row>
    <row r="50" spans="1:9" x14ac:dyDescent="0.35">
      <c r="A50" t="s">
        <v>86</v>
      </c>
      <c r="B50" t="s">
        <v>97</v>
      </c>
      <c r="C50" t="s">
        <v>88</v>
      </c>
      <c r="D50" t="s">
        <v>116</v>
      </c>
      <c r="E50" t="s">
        <v>14</v>
      </c>
      <c r="F50">
        <v>0.84199999999999997</v>
      </c>
      <c r="G50" t="s">
        <v>95</v>
      </c>
      <c r="H50">
        <v>0.45100000000000001</v>
      </c>
      <c r="I50" t="s">
        <v>89</v>
      </c>
    </row>
    <row r="51" spans="1:9" x14ac:dyDescent="0.35">
      <c r="A51" t="s">
        <v>86</v>
      </c>
      <c r="B51" t="s">
        <v>97</v>
      </c>
      <c r="C51" t="s">
        <v>83</v>
      </c>
      <c r="D51" t="s">
        <v>116</v>
      </c>
      <c r="E51" t="s">
        <v>14</v>
      </c>
      <c r="F51">
        <v>2.2999999999999998</v>
      </c>
      <c r="G51" t="s">
        <v>95</v>
      </c>
      <c r="H51">
        <v>0.38300000000000001</v>
      </c>
      <c r="I51" t="s">
        <v>89</v>
      </c>
    </row>
    <row r="52" spans="1:9" x14ac:dyDescent="0.35">
      <c r="A52" t="s">
        <v>86</v>
      </c>
      <c r="B52" t="s">
        <v>97</v>
      </c>
      <c r="C52" t="s">
        <v>84</v>
      </c>
      <c r="D52" t="s">
        <v>116</v>
      </c>
      <c r="E52" t="s">
        <v>14</v>
      </c>
      <c r="F52">
        <v>16.3</v>
      </c>
      <c r="G52" t="s">
        <v>95</v>
      </c>
      <c r="H52">
        <v>0.318</v>
      </c>
      <c r="I52" t="s">
        <v>89</v>
      </c>
    </row>
    <row r="53" spans="1:9" x14ac:dyDescent="0.35">
      <c r="A53" t="s">
        <v>29</v>
      </c>
      <c r="B53" t="s">
        <v>111</v>
      </c>
      <c r="C53" t="s">
        <v>98</v>
      </c>
      <c r="D53" t="s">
        <v>116</v>
      </c>
      <c r="E53" t="s">
        <v>14</v>
      </c>
      <c r="F53">
        <v>7.0000000000000007E-2</v>
      </c>
      <c r="G53">
        <v>0.03</v>
      </c>
      <c r="H53" t="s">
        <v>95</v>
      </c>
      <c r="I53" t="s">
        <v>77</v>
      </c>
    </row>
    <row r="54" spans="1:9" x14ac:dyDescent="0.35">
      <c r="A54" t="s">
        <v>29</v>
      </c>
      <c r="B54" t="s">
        <v>110</v>
      </c>
      <c r="C54" t="s">
        <v>99</v>
      </c>
      <c r="D54" t="s">
        <v>116</v>
      </c>
      <c r="E54" t="s">
        <v>14</v>
      </c>
      <c r="F54">
        <v>0</v>
      </c>
      <c r="G54">
        <v>0</v>
      </c>
      <c r="H54" t="s">
        <v>95</v>
      </c>
      <c r="I54" t="s">
        <v>77</v>
      </c>
    </row>
    <row r="55" spans="1:9" x14ac:dyDescent="0.35">
      <c r="A55" t="s">
        <v>29</v>
      </c>
      <c r="B55" t="s">
        <v>110</v>
      </c>
      <c r="C55" t="s">
        <v>99</v>
      </c>
      <c r="D55" t="s">
        <v>116</v>
      </c>
      <c r="E55" t="s">
        <v>14</v>
      </c>
      <c r="F55">
        <v>0</v>
      </c>
      <c r="G55">
        <v>0</v>
      </c>
      <c r="H55" t="s">
        <v>95</v>
      </c>
      <c r="I55" t="s">
        <v>77</v>
      </c>
    </row>
    <row r="56" spans="1:9" x14ac:dyDescent="0.35">
      <c r="A56" t="s">
        <v>29</v>
      </c>
      <c r="B56" t="s">
        <v>109</v>
      </c>
      <c r="C56" t="s">
        <v>28</v>
      </c>
      <c r="D56" t="s">
        <v>116</v>
      </c>
      <c r="E56" t="s">
        <v>14</v>
      </c>
      <c r="F56">
        <v>0.08</v>
      </c>
      <c r="G56">
        <v>0.08</v>
      </c>
      <c r="H56" t="s">
        <v>95</v>
      </c>
      <c r="I56" t="s">
        <v>77</v>
      </c>
    </row>
    <row r="57" spans="1:9" x14ac:dyDescent="0.35">
      <c r="A57" t="s">
        <v>29</v>
      </c>
      <c r="B57" t="s">
        <v>109</v>
      </c>
      <c r="C57" t="s">
        <v>28</v>
      </c>
      <c r="D57" t="s">
        <v>116</v>
      </c>
      <c r="E57" t="s">
        <v>14</v>
      </c>
      <c r="F57">
        <v>0.01</v>
      </c>
      <c r="G57">
        <v>0.01</v>
      </c>
      <c r="H57" t="s">
        <v>95</v>
      </c>
      <c r="I57" t="s">
        <v>77</v>
      </c>
    </row>
    <row r="58" spans="1:9" x14ac:dyDescent="0.35">
      <c r="A58" t="s">
        <v>29</v>
      </c>
      <c r="B58" t="s">
        <v>107</v>
      </c>
      <c r="C58" t="s">
        <v>101</v>
      </c>
      <c r="D58" t="s">
        <v>116</v>
      </c>
      <c r="E58" t="s">
        <v>14</v>
      </c>
      <c r="F58">
        <v>0.01</v>
      </c>
      <c r="G58">
        <v>0.01</v>
      </c>
      <c r="H58" t="s">
        <v>95</v>
      </c>
      <c r="I58" t="s">
        <v>77</v>
      </c>
    </row>
    <row r="59" spans="1:9" x14ac:dyDescent="0.35">
      <c r="A59" t="s">
        <v>29</v>
      </c>
      <c r="B59" t="s">
        <v>107</v>
      </c>
      <c r="C59" t="s">
        <v>101</v>
      </c>
      <c r="D59" t="s">
        <v>116</v>
      </c>
      <c r="E59" t="s">
        <v>14</v>
      </c>
      <c r="F59">
        <v>4.0000000000000001E-3</v>
      </c>
      <c r="G59">
        <v>4.0000000000000001E-3</v>
      </c>
      <c r="H59" t="s">
        <v>95</v>
      </c>
      <c r="I59" t="s">
        <v>77</v>
      </c>
    </row>
    <row r="60" spans="1:9" x14ac:dyDescent="0.35">
      <c r="A60" t="s">
        <v>29</v>
      </c>
      <c r="B60" t="s">
        <v>110</v>
      </c>
      <c r="C60" t="s">
        <v>100</v>
      </c>
      <c r="D60" t="s">
        <v>116</v>
      </c>
      <c r="E60" t="s">
        <v>14</v>
      </c>
      <c r="F60">
        <v>0.02</v>
      </c>
      <c r="G60">
        <v>0.01</v>
      </c>
      <c r="H60" t="s">
        <v>95</v>
      </c>
      <c r="I60" t="s">
        <v>77</v>
      </c>
    </row>
    <row r="61" spans="1:9" x14ac:dyDescent="0.35">
      <c r="A61" t="s">
        <v>29</v>
      </c>
      <c r="B61" t="s">
        <v>110</v>
      </c>
      <c r="C61" t="s">
        <v>100</v>
      </c>
      <c r="D61" t="s">
        <v>116</v>
      </c>
      <c r="E61" t="s">
        <v>14</v>
      </c>
      <c r="F61">
        <v>0</v>
      </c>
      <c r="G61">
        <v>0</v>
      </c>
      <c r="H61" t="s">
        <v>95</v>
      </c>
      <c r="I61" t="s">
        <v>77</v>
      </c>
    </row>
    <row r="62" spans="1:9" x14ac:dyDescent="0.35">
      <c r="A62" t="s">
        <v>29</v>
      </c>
      <c r="B62" t="s">
        <v>108</v>
      </c>
      <c r="C62" t="s">
        <v>102</v>
      </c>
      <c r="D62" t="s">
        <v>116</v>
      </c>
      <c r="E62" t="s">
        <v>14</v>
      </c>
      <c r="F62">
        <v>0.1</v>
      </c>
      <c r="G62" t="s">
        <v>5</v>
      </c>
      <c r="H62" t="s">
        <v>95</v>
      </c>
      <c r="I62" t="s">
        <v>77</v>
      </c>
    </row>
    <row r="63" spans="1:9" x14ac:dyDescent="0.35">
      <c r="A63" t="s">
        <v>29</v>
      </c>
      <c r="B63" t="s">
        <v>108</v>
      </c>
      <c r="C63" t="s">
        <v>102</v>
      </c>
      <c r="D63" t="s">
        <v>116</v>
      </c>
      <c r="E63" t="s">
        <v>14</v>
      </c>
      <c r="F63">
        <v>0</v>
      </c>
      <c r="G63" t="s">
        <v>5</v>
      </c>
      <c r="H63" t="s">
        <v>95</v>
      </c>
      <c r="I63" t="s">
        <v>77</v>
      </c>
    </row>
    <row r="64" spans="1:9" x14ac:dyDescent="0.35">
      <c r="A64" t="s">
        <v>29</v>
      </c>
      <c r="B64" t="s">
        <v>107</v>
      </c>
      <c r="C64" t="s">
        <v>30</v>
      </c>
      <c r="D64" t="s">
        <v>116</v>
      </c>
      <c r="E64" t="s">
        <v>14</v>
      </c>
      <c r="F64">
        <v>0</v>
      </c>
      <c r="G64">
        <v>0</v>
      </c>
      <c r="H64" t="s">
        <v>95</v>
      </c>
      <c r="I64" t="s">
        <v>77</v>
      </c>
    </row>
    <row r="65" spans="1:9" x14ac:dyDescent="0.35">
      <c r="A65" t="s">
        <v>29</v>
      </c>
      <c r="B65" t="s">
        <v>107</v>
      </c>
      <c r="C65" t="s">
        <v>30</v>
      </c>
      <c r="D65" t="s">
        <v>116</v>
      </c>
      <c r="E65" t="s">
        <v>14</v>
      </c>
      <c r="F65">
        <v>3.0000000000000001E-3</v>
      </c>
      <c r="G65">
        <v>3.0000000000000001E-3</v>
      </c>
      <c r="H65" t="s">
        <v>95</v>
      </c>
      <c r="I65" t="s">
        <v>77</v>
      </c>
    </row>
    <row r="66" spans="1:9" x14ac:dyDescent="0.35">
      <c r="A66" t="s">
        <v>29</v>
      </c>
      <c r="B66" t="s">
        <v>105</v>
      </c>
      <c r="C66" t="s">
        <v>103</v>
      </c>
      <c r="D66" t="s">
        <v>116</v>
      </c>
      <c r="E66" t="s">
        <v>14</v>
      </c>
      <c r="F66">
        <v>0.47</v>
      </c>
      <c r="G66">
        <v>0.47</v>
      </c>
      <c r="H66" t="s">
        <v>95</v>
      </c>
      <c r="I66" t="s">
        <v>77</v>
      </c>
    </row>
    <row r="67" spans="1:9" x14ac:dyDescent="0.35">
      <c r="A67" t="s">
        <v>29</v>
      </c>
      <c r="B67" t="s">
        <v>105</v>
      </c>
      <c r="C67" t="s">
        <v>103</v>
      </c>
      <c r="D67" t="s">
        <v>116</v>
      </c>
      <c r="E67" t="s">
        <v>14</v>
      </c>
      <c r="F67">
        <v>0.01</v>
      </c>
      <c r="G67">
        <v>0.01</v>
      </c>
      <c r="H67" t="s">
        <v>95</v>
      </c>
      <c r="I67" t="s">
        <v>77</v>
      </c>
    </row>
    <row r="68" spans="1:9" x14ac:dyDescent="0.35">
      <c r="A68" t="s">
        <v>29</v>
      </c>
      <c r="B68" t="s">
        <v>106</v>
      </c>
      <c r="C68" t="s">
        <v>31</v>
      </c>
      <c r="D68" t="s">
        <v>116</v>
      </c>
      <c r="E68" t="s">
        <v>14</v>
      </c>
      <c r="F68">
        <v>0</v>
      </c>
      <c r="G68" t="s">
        <v>5</v>
      </c>
      <c r="H68" t="s">
        <v>95</v>
      </c>
      <c r="I68" t="s">
        <v>77</v>
      </c>
    </row>
    <row r="69" spans="1:9" x14ac:dyDescent="0.35">
      <c r="A69" t="s">
        <v>29</v>
      </c>
      <c r="B69" t="s">
        <v>106</v>
      </c>
      <c r="C69" t="s">
        <v>31</v>
      </c>
      <c r="D69" t="s">
        <v>116</v>
      </c>
      <c r="E69" t="s">
        <v>14</v>
      </c>
      <c r="F69">
        <v>2E-3</v>
      </c>
      <c r="G69">
        <v>2E-3</v>
      </c>
      <c r="H69" t="s">
        <v>95</v>
      </c>
      <c r="I69" t="s">
        <v>77</v>
      </c>
    </row>
    <row r="70" spans="1:9" x14ac:dyDescent="0.35">
      <c r="A70" t="s">
        <v>29</v>
      </c>
      <c r="B70" t="s">
        <v>114</v>
      </c>
      <c r="C70" t="s">
        <v>113</v>
      </c>
      <c r="D70" t="s">
        <v>116</v>
      </c>
      <c r="E70" t="s">
        <v>14</v>
      </c>
      <c r="F70">
        <v>2.9999999999999997E-4</v>
      </c>
      <c r="G70">
        <v>2.9999999999999997E-4</v>
      </c>
      <c r="H70" t="s">
        <v>95</v>
      </c>
      <c r="I70" t="s">
        <v>77</v>
      </c>
    </row>
    <row r="71" spans="1:9" x14ac:dyDescent="0.35">
      <c r="A71" t="s">
        <v>29</v>
      </c>
      <c r="B71" t="s">
        <v>112</v>
      </c>
      <c r="C71" t="s">
        <v>12</v>
      </c>
      <c r="D71" t="s">
        <v>116</v>
      </c>
      <c r="E71" t="s">
        <v>14</v>
      </c>
      <c r="F71">
        <v>0.05</v>
      </c>
      <c r="G71" t="s">
        <v>5</v>
      </c>
      <c r="H71" t="s">
        <v>95</v>
      </c>
      <c r="I71" t="s">
        <v>77</v>
      </c>
    </row>
    <row r="72" spans="1:9" x14ac:dyDescent="0.35">
      <c r="A72" t="s">
        <v>10</v>
      </c>
      <c r="B72" t="s">
        <v>104</v>
      </c>
      <c r="C72" t="s">
        <v>11</v>
      </c>
      <c r="D72" t="s">
        <v>116</v>
      </c>
      <c r="E72" t="s">
        <v>15</v>
      </c>
      <c r="F72">
        <v>0</v>
      </c>
      <c r="H72" t="s">
        <v>95</v>
      </c>
      <c r="I72" t="s">
        <v>77</v>
      </c>
    </row>
    <row r="73" spans="1:9" x14ac:dyDescent="0.35">
      <c r="A73" t="s">
        <v>10</v>
      </c>
      <c r="B73" t="s">
        <v>104</v>
      </c>
      <c r="C73" t="s">
        <v>11</v>
      </c>
      <c r="D73" t="s">
        <v>116</v>
      </c>
      <c r="E73" t="s">
        <v>15</v>
      </c>
      <c r="F73">
        <v>0</v>
      </c>
      <c r="H73" t="s">
        <v>95</v>
      </c>
      <c r="I73" t="s">
        <v>77</v>
      </c>
    </row>
    <row r="74" spans="1:9" x14ac:dyDescent="0.35">
      <c r="A74" t="s">
        <v>10</v>
      </c>
      <c r="B74" t="s">
        <v>104</v>
      </c>
      <c r="C74" t="s">
        <v>11</v>
      </c>
      <c r="D74" t="s">
        <v>116</v>
      </c>
      <c r="E74" t="s">
        <v>15</v>
      </c>
      <c r="F74">
        <v>0</v>
      </c>
      <c r="H74" t="s">
        <v>95</v>
      </c>
      <c r="I74" t="s">
        <v>77</v>
      </c>
    </row>
    <row r="75" spans="1:9" x14ac:dyDescent="0.35">
      <c r="A75" t="s">
        <v>10</v>
      </c>
      <c r="B75" t="s">
        <v>112</v>
      </c>
      <c r="C75" t="s">
        <v>12</v>
      </c>
      <c r="D75" t="s">
        <v>116</v>
      </c>
      <c r="E75" t="s">
        <v>15</v>
      </c>
      <c r="F75">
        <v>8.0000000000000002E-3</v>
      </c>
      <c r="H75" t="s">
        <v>95</v>
      </c>
      <c r="I75" t="s">
        <v>77</v>
      </c>
    </row>
    <row r="76" spans="1:9" x14ac:dyDescent="0.35">
      <c r="A76" t="s">
        <v>10</v>
      </c>
      <c r="B76" t="s">
        <v>112</v>
      </c>
      <c r="C76" t="s">
        <v>12</v>
      </c>
      <c r="D76" t="s">
        <v>116</v>
      </c>
      <c r="E76" t="s">
        <v>15</v>
      </c>
      <c r="F76">
        <v>0</v>
      </c>
      <c r="H76" t="s">
        <v>95</v>
      </c>
      <c r="I76" t="s">
        <v>77</v>
      </c>
    </row>
    <row r="77" spans="1:9" x14ac:dyDescent="0.35">
      <c r="A77" t="s">
        <v>10</v>
      </c>
      <c r="B77" t="s">
        <v>112</v>
      </c>
      <c r="C77" t="s">
        <v>12</v>
      </c>
      <c r="D77" t="s">
        <v>116</v>
      </c>
      <c r="E77" t="s">
        <v>15</v>
      </c>
      <c r="F77">
        <v>4.0000000000000001E-3</v>
      </c>
      <c r="H77" t="s">
        <v>95</v>
      </c>
      <c r="I77" t="s">
        <v>77</v>
      </c>
    </row>
    <row r="78" spans="1:9" x14ac:dyDescent="0.35">
      <c r="A78" t="s">
        <v>7</v>
      </c>
      <c r="B78" t="s">
        <v>104</v>
      </c>
      <c r="C78" t="s">
        <v>11</v>
      </c>
      <c r="D78" t="s">
        <v>116</v>
      </c>
      <c r="E78" t="s">
        <v>15</v>
      </c>
      <c r="F78">
        <v>0.4</v>
      </c>
      <c r="H78" t="s">
        <v>95</v>
      </c>
      <c r="I78" t="s">
        <v>77</v>
      </c>
    </row>
    <row r="79" spans="1:9" x14ac:dyDescent="0.35">
      <c r="A79" t="s">
        <v>7</v>
      </c>
      <c r="B79" t="s">
        <v>104</v>
      </c>
      <c r="C79" t="s">
        <v>11</v>
      </c>
      <c r="D79" t="s">
        <v>116</v>
      </c>
      <c r="E79" t="s">
        <v>15</v>
      </c>
      <c r="F79">
        <v>0</v>
      </c>
      <c r="H79" t="s">
        <v>95</v>
      </c>
      <c r="I79" t="s">
        <v>77</v>
      </c>
    </row>
    <row r="80" spans="1:9" x14ac:dyDescent="0.35">
      <c r="A80" t="s">
        <v>7</v>
      </c>
      <c r="B80" t="s">
        <v>104</v>
      </c>
      <c r="C80" t="s">
        <v>12</v>
      </c>
      <c r="D80" t="s">
        <v>116</v>
      </c>
      <c r="E80" t="s">
        <v>15</v>
      </c>
      <c r="F80">
        <v>0</v>
      </c>
      <c r="H80" t="s">
        <v>95</v>
      </c>
      <c r="I80" t="s">
        <v>77</v>
      </c>
    </row>
    <row r="81" spans="1:9" x14ac:dyDescent="0.35">
      <c r="A81" t="s">
        <v>7</v>
      </c>
      <c r="B81" t="s">
        <v>104</v>
      </c>
      <c r="C81" t="s">
        <v>12</v>
      </c>
      <c r="D81" t="s">
        <v>116</v>
      </c>
      <c r="E81" t="s">
        <v>15</v>
      </c>
      <c r="F81">
        <v>0.13</v>
      </c>
      <c r="H81" t="s">
        <v>95</v>
      </c>
      <c r="I81" t="s">
        <v>77</v>
      </c>
    </row>
    <row r="82" spans="1:9" x14ac:dyDescent="0.35">
      <c r="A82" t="s">
        <v>32</v>
      </c>
      <c r="B82" t="s">
        <v>118</v>
      </c>
      <c r="C82" t="s">
        <v>33</v>
      </c>
      <c r="D82" t="s">
        <v>117</v>
      </c>
      <c r="E82" t="s">
        <v>95</v>
      </c>
      <c r="F82">
        <v>7.6999999999999991E-6</v>
      </c>
      <c r="H82">
        <v>28.2</v>
      </c>
      <c r="I82" t="s">
        <v>66</v>
      </c>
    </row>
    <row r="83" spans="1:9" x14ac:dyDescent="0.35">
      <c r="A83" t="s">
        <v>32</v>
      </c>
      <c r="B83" t="s">
        <v>118</v>
      </c>
      <c r="C83" t="s">
        <v>48</v>
      </c>
      <c r="D83" t="s">
        <v>117</v>
      </c>
      <c r="E83" t="s">
        <v>95</v>
      </c>
      <c r="F83">
        <v>1.52E-5</v>
      </c>
      <c r="H83">
        <v>11.4</v>
      </c>
      <c r="I83" t="s">
        <v>66</v>
      </c>
    </row>
    <row r="84" spans="1:9" x14ac:dyDescent="0.35">
      <c r="A84" t="s">
        <v>32</v>
      </c>
      <c r="B84" t="s">
        <v>118</v>
      </c>
      <c r="C84" t="s">
        <v>34</v>
      </c>
      <c r="D84" t="s">
        <v>117</v>
      </c>
      <c r="E84" t="s">
        <v>95</v>
      </c>
      <c r="F84">
        <v>3.0800000000000003E-5</v>
      </c>
      <c r="H84">
        <v>10.6</v>
      </c>
      <c r="I84" t="s">
        <v>66</v>
      </c>
    </row>
    <row r="85" spans="1:9" x14ac:dyDescent="0.35">
      <c r="A85" t="s">
        <v>32</v>
      </c>
      <c r="B85" t="s">
        <v>118</v>
      </c>
      <c r="C85" t="s">
        <v>35</v>
      </c>
      <c r="D85" t="s">
        <v>117</v>
      </c>
      <c r="E85" t="s">
        <v>95</v>
      </c>
      <c r="F85">
        <v>3.7599999999999999E-5</v>
      </c>
      <c r="H85">
        <v>7.44</v>
      </c>
      <c r="I85" t="s">
        <v>66</v>
      </c>
    </row>
    <row r="86" spans="1:9" x14ac:dyDescent="0.35">
      <c r="A86" t="s">
        <v>32</v>
      </c>
      <c r="B86" t="s">
        <v>118</v>
      </c>
      <c r="C86" t="s">
        <v>36</v>
      </c>
      <c r="D86" t="s">
        <v>117</v>
      </c>
      <c r="E86" t="s">
        <v>95</v>
      </c>
      <c r="F86">
        <v>1.8200000000000002E-5</v>
      </c>
      <c r="H86">
        <v>6.54</v>
      </c>
      <c r="I86" t="s">
        <v>66</v>
      </c>
    </row>
    <row r="87" spans="1:9" x14ac:dyDescent="0.35">
      <c r="A87" t="s">
        <v>49</v>
      </c>
      <c r="B87" t="s">
        <v>141</v>
      </c>
      <c r="C87" t="s">
        <v>15</v>
      </c>
      <c r="D87" t="s">
        <v>116</v>
      </c>
      <c r="E87" t="s">
        <v>15</v>
      </c>
      <c r="F87">
        <f>413/541000</f>
        <v>7.6340110905730131E-4</v>
      </c>
      <c r="H87">
        <v>29</v>
      </c>
      <c r="I87" t="s">
        <v>173</v>
      </c>
    </row>
  </sheetData>
  <autoFilter ref="I1:I87" xr:uid="{6FDC1ACB-67B1-4BE2-AE2C-9021FC35DA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BD96-7478-4A0F-B777-1EC048F3B826}">
  <dimension ref="F2:H8"/>
  <sheetViews>
    <sheetView zoomScale="140" zoomScaleNormal="140" workbookViewId="0">
      <selection activeCell="G5" sqref="G5"/>
    </sheetView>
  </sheetViews>
  <sheetFormatPr defaultRowHeight="14.5" x14ac:dyDescent="0.35"/>
  <cols>
    <col min="1" max="1" width="9.81640625" customWidth="1"/>
    <col min="2" max="2" width="12.90625" customWidth="1"/>
    <col min="3" max="3" width="9.1796875" bestFit="1" customWidth="1"/>
    <col min="4" max="4" width="10" bestFit="1" customWidth="1"/>
    <col min="5" max="5" width="3.453125" bestFit="1" customWidth="1"/>
    <col min="6" max="6" width="20.81640625" customWidth="1"/>
  </cols>
  <sheetData>
    <row r="2" spans="6:8" x14ac:dyDescent="0.35">
      <c r="F2" s="5" t="s">
        <v>64</v>
      </c>
      <c r="G2" s="5" t="s">
        <v>0</v>
      </c>
      <c r="H2" s="5" t="s">
        <v>73</v>
      </c>
    </row>
    <row r="3" spans="6:8" x14ac:dyDescent="0.35">
      <c r="F3" t="s">
        <v>135</v>
      </c>
      <c r="G3" s="4" t="s">
        <v>136</v>
      </c>
      <c r="H3" t="s">
        <v>139</v>
      </c>
    </row>
    <row r="4" spans="6:8" x14ac:dyDescent="0.35">
      <c r="F4" t="s">
        <v>67</v>
      </c>
      <c r="G4" s="4" t="s">
        <v>68</v>
      </c>
    </row>
    <row r="5" spans="6:8" x14ac:dyDescent="0.35">
      <c r="F5" t="s">
        <v>75</v>
      </c>
      <c r="G5" s="4" t="s">
        <v>76</v>
      </c>
      <c r="H5" t="s">
        <v>74</v>
      </c>
    </row>
    <row r="6" spans="6:8" x14ac:dyDescent="0.35">
      <c r="F6" t="s">
        <v>89</v>
      </c>
      <c r="G6" s="4" t="s">
        <v>90</v>
      </c>
      <c r="H6" t="s">
        <v>91</v>
      </c>
    </row>
    <row r="7" spans="6:8" x14ac:dyDescent="0.35">
      <c r="F7" t="s">
        <v>77</v>
      </c>
      <c r="G7" s="4" t="s">
        <v>69</v>
      </c>
    </row>
    <row r="8" spans="6:8" x14ac:dyDescent="0.35">
      <c r="F8" t="s">
        <v>66</v>
      </c>
      <c r="G8" s="4" t="s">
        <v>1</v>
      </c>
    </row>
  </sheetData>
  <hyperlinks>
    <hyperlink ref="G4" r:id="rId1" display="https://doi.org/10.1016/0006-3207(86)90017-0" xr:uid="{5B1AC4F9-0259-486E-B75C-D6F09EF21FC0}"/>
    <hyperlink ref="G7" r:id="rId2" xr:uid="{D89AF27B-02FA-4368-B437-9A96D255B9F3}"/>
    <hyperlink ref="G5" r:id="rId3" xr:uid="{A0119561-C517-474F-933B-AA9FE520FA26}"/>
    <hyperlink ref="G6" r:id="rId4" display="https://doi.org/10.1016/0006-3207(88)90095-X" xr:uid="{898605E4-B934-4E84-BF63-5527CB8C314C}"/>
    <hyperlink ref="G8" r:id="rId5" display="https://doi.org/10.1577/M05-121.1" xr:uid="{76119F12-00C9-4B7D-8A1D-722467828D09}"/>
    <hyperlink ref="G3" r:id="rId6" display="https://doi.org/10.1016/0006-3207(85)90041-2" xr:uid="{E4E2E2C0-54F4-4B28-9E40-643C998C2B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86C4-078D-4117-A244-D5EB5BB0DB9E}">
  <dimension ref="A1:E16"/>
  <sheetViews>
    <sheetView workbookViewId="0">
      <selection sqref="A1:E16"/>
    </sheetView>
  </sheetViews>
  <sheetFormatPr defaultRowHeight="14.5" x14ac:dyDescent="0.35"/>
  <cols>
    <col min="2" max="2" width="20.1796875" bestFit="1" customWidth="1"/>
    <col min="3" max="3" width="11" bestFit="1" customWidth="1"/>
    <col min="4" max="4" width="11.1796875" bestFit="1" customWidth="1"/>
    <col min="5" max="5" width="12.08984375" bestFit="1" customWidth="1"/>
  </cols>
  <sheetData>
    <row r="1" spans="1:5" x14ac:dyDescent="0.35">
      <c r="A1" t="s">
        <v>8</v>
      </c>
      <c r="B1" t="s">
        <v>92</v>
      </c>
      <c r="C1" t="s">
        <v>2</v>
      </c>
      <c r="D1" t="s">
        <v>50</v>
      </c>
      <c r="E1" t="s">
        <v>133</v>
      </c>
    </row>
    <row r="2" spans="1:5" x14ac:dyDescent="0.35">
      <c r="A2" t="s">
        <v>134</v>
      </c>
      <c r="B2" t="s">
        <v>119</v>
      </c>
      <c r="C2" t="s">
        <v>120</v>
      </c>
      <c r="D2" t="s">
        <v>14</v>
      </c>
      <c r="E2">
        <v>201</v>
      </c>
    </row>
    <row r="3" spans="1:5" x14ac:dyDescent="0.35">
      <c r="A3" t="s">
        <v>134</v>
      </c>
      <c r="B3" t="s">
        <v>119</v>
      </c>
      <c r="C3" t="s">
        <v>121</v>
      </c>
      <c r="D3" t="s">
        <v>14</v>
      </c>
      <c r="E3">
        <v>177</v>
      </c>
    </row>
    <row r="4" spans="1:5" x14ac:dyDescent="0.35">
      <c r="A4" t="s">
        <v>134</v>
      </c>
      <c r="B4" t="s">
        <v>119</v>
      </c>
      <c r="C4" t="s">
        <v>122</v>
      </c>
      <c r="D4" t="s">
        <v>14</v>
      </c>
      <c r="E4">
        <v>39</v>
      </c>
    </row>
    <row r="5" spans="1:5" x14ac:dyDescent="0.35">
      <c r="A5" t="s">
        <v>134</v>
      </c>
      <c r="B5" t="s">
        <v>119</v>
      </c>
      <c r="C5" t="s">
        <v>123</v>
      </c>
      <c r="D5" t="s">
        <v>14</v>
      </c>
      <c r="E5">
        <v>46</v>
      </c>
    </row>
    <row r="6" spans="1:5" x14ac:dyDescent="0.35">
      <c r="A6" t="s">
        <v>134</v>
      </c>
      <c r="B6" t="s">
        <v>119</v>
      </c>
      <c r="C6" t="s">
        <v>124</v>
      </c>
      <c r="D6" t="s">
        <v>14</v>
      </c>
      <c r="E6">
        <v>72</v>
      </c>
    </row>
    <row r="7" spans="1:5" x14ac:dyDescent="0.35">
      <c r="A7" t="s">
        <v>134</v>
      </c>
      <c r="B7" t="s">
        <v>119</v>
      </c>
      <c r="C7" t="s">
        <v>125</v>
      </c>
      <c r="D7" t="s">
        <v>14</v>
      </c>
      <c r="E7">
        <v>339</v>
      </c>
    </row>
    <row r="8" spans="1:5" x14ac:dyDescent="0.35">
      <c r="A8" t="s">
        <v>134</v>
      </c>
      <c r="B8" t="s">
        <v>119</v>
      </c>
      <c r="C8" t="s">
        <v>126</v>
      </c>
      <c r="D8" t="s">
        <v>14</v>
      </c>
      <c r="E8">
        <v>197</v>
      </c>
    </row>
    <row r="9" spans="1:5" x14ac:dyDescent="0.35">
      <c r="A9" t="s">
        <v>134</v>
      </c>
      <c r="B9" t="s">
        <v>119</v>
      </c>
      <c r="C9" t="s">
        <v>127</v>
      </c>
      <c r="D9" t="s">
        <v>14</v>
      </c>
      <c r="E9">
        <v>47</v>
      </c>
    </row>
    <row r="10" spans="1:5" x14ac:dyDescent="0.35">
      <c r="A10" t="s">
        <v>134</v>
      </c>
      <c r="B10" t="s">
        <v>119</v>
      </c>
      <c r="C10" t="s">
        <v>128</v>
      </c>
      <c r="D10" t="s">
        <v>14</v>
      </c>
      <c r="E10">
        <v>26</v>
      </c>
    </row>
    <row r="11" spans="1:5" x14ac:dyDescent="0.35">
      <c r="A11" t="s">
        <v>134</v>
      </c>
      <c r="B11" t="s">
        <v>119</v>
      </c>
      <c r="C11" t="s">
        <v>129</v>
      </c>
      <c r="D11" t="s">
        <v>14</v>
      </c>
      <c r="E11">
        <v>144</v>
      </c>
    </row>
    <row r="12" spans="1:5" x14ac:dyDescent="0.35">
      <c r="A12" t="s">
        <v>134</v>
      </c>
      <c r="B12" t="s">
        <v>119</v>
      </c>
      <c r="C12" t="s">
        <v>130</v>
      </c>
      <c r="D12" t="s">
        <v>14</v>
      </c>
      <c r="E12">
        <v>127</v>
      </c>
    </row>
    <row r="13" spans="1:5" x14ac:dyDescent="0.35">
      <c r="A13" t="s">
        <v>134</v>
      </c>
      <c r="B13" t="s">
        <v>119</v>
      </c>
      <c r="C13" t="s">
        <v>131</v>
      </c>
      <c r="D13" t="s">
        <v>14</v>
      </c>
      <c r="E13">
        <v>67</v>
      </c>
    </row>
    <row r="14" spans="1:5" x14ac:dyDescent="0.35">
      <c r="A14" t="s">
        <v>134</v>
      </c>
      <c r="B14" t="s">
        <v>119</v>
      </c>
      <c r="C14" t="s">
        <v>132</v>
      </c>
      <c r="D14" t="s">
        <v>14</v>
      </c>
      <c r="E14">
        <v>84</v>
      </c>
    </row>
    <row r="15" spans="1:5" x14ac:dyDescent="0.35">
      <c r="A15" t="s">
        <v>32</v>
      </c>
      <c r="B15" t="s">
        <v>119</v>
      </c>
      <c r="C15" t="s">
        <v>137</v>
      </c>
      <c r="D15" t="s">
        <v>14</v>
      </c>
      <c r="E15">
        <v>119</v>
      </c>
    </row>
    <row r="16" spans="1:5" x14ac:dyDescent="0.35">
      <c r="A16" t="s">
        <v>32</v>
      </c>
      <c r="B16" t="s">
        <v>119</v>
      </c>
      <c r="C16" t="s">
        <v>138</v>
      </c>
      <c r="D16" t="s">
        <v>14</v>
      </c>
      <c r="E16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5916-5F2A-441E-B430-F46CD59D8966}">
  <dimension ref="A1:X13"/>
  <sheetViews>
    <sheetView workbookViewId="0">
      <selection sqref="A1:H2"/>
    </sheetView>
  </sheetViews>
  <sheetFormatPr defaultRowHeight="14.5" x14ac:dyDescent="0.35"/>
  <cols>
    <col min="2" max="2" width="20.1796875" bestFit="1" customWidth="1"/>
    <col min="3" max="3" width="24" bestFit="1" customWidth="1"/>
    <col min="4" max="4" width="11.1796875" bestFit="1" customWidth="1"/>
    <col min="5" max="5" width="12.36328125" bestFit="1" customWidth="1"/>
    <col min="6" max="6" width="22.453125" bestFit="1" customWidth="1"/>
    <col min="7" max="7" width="12.6328125" bestFit="1" customWidth="1"/>
    <col min="8" max="8" width="17.453125" bestFit="1" customWidth="1"/>
    <col min="9" max="9" width="16.36328125" bestFit="1" customWidth="1"/>
    <col min="10" max="10" width="11.81640625" bestFit="1" customWidth="1"/>
  </cols>
  <sheetData>
    <row r="1" spans="1:24" x14ac:dyDescent="0.35">
      <c r="A1" t="s">
        <v>8</v>
      </c>
      <c r="B1" t="s">
        <v>92</v>
      </c>
      <c r="C1" t="s">
        <v>2</v>
      </c>
      <c r="D1" t="s">
        <v>50</v>
      </c>
      <c r="E1" t="s">
        <v>51</v>
      </c>
      <c r="F1" t="s">
        <v>63</v>
      </c>
      <c r="G1" t="s">
        <v>53</v>
      </c>
      <c r="H1" t="s">
        <v>54</v>
      </c>
    </row>
    <row r="2" spans="1:24" x14ac:dyDescent="0.35">
      <c r="A2" t="s">
        <v>49</v>
      </c>
      <c r="B2" t="s">
        <v>93</v>
      </c>
      <c r="C2" t="s">
        <v>55</v>
      </c>
      <c r="D2" t="s">
        <v>14</v>
      </c>
      <c r="E2">
        <v>48.75</v>
      </c>
      <c r="F2">
        <v>90.3</v>
      </c>
      <c r="G2">
        <v>4622</v>
      </c>
      <c r="H2">
        <v>839</v>
      </c>
      <c r="J2" s="3"/>
    </row>
    <row r="3" spans="1:24" x14ac:dyDescent="0.35">
      <c r="A3" t="s">
        <v>49</v>
      </c>
      <c r="B3" t="s">
        <v>93</v>
      </c>
      <c r="C3" t="s">
        <v>56</v>
      </c>
      <c r="D3" t="s">
        <v>14</v>
      </c>
      <c r="E3">
        <v>451.25</v>
      </c>
      <c r="F3">
        <v>21.2</v>
      </c>
      <c r="G3">
        <v>10045</v>
      </c>
      <c r="H3">
        <v>2708</v>
      </c>
      <c r="J3" s="3"/>
    </row>
    <row r="4" spans="1:24" x14ac:dyDescent="0.35">
      <c r="A4" t="s">
        <v>49</v>
      </c>
      <c r="B4" t="s">
        <v>93</v>
      </c>
      <c r="C4" t="s">
        <v>55</v>
      </c>
      <c r="D4" t="s">
        <v>14</v>
      </c>
      <c r="E4">
        <v>49.5</v>
      </c>
      <c r="F4">
        <v>27.4</v>
      </c>
      <c r="G4">
        <v>1424</v>
      </c>
      <c r="H4">
        <v>481</v>
      </c>
      <c r="J4" s="3"/>
    </row>
    <row r="5" spans="1:24" x14ac:dyDescent="0.35">
      <c r="A5" t="s">
        <v>49</v>
      </c>
      <c r="B5" t="s">
        <v>93</v>
      </c>
      <c r="C5" t="s">
        <v>56</v>
      </c>
      <c r="D5" t="s">
        <v>14</v>
      </c>
      <c r="E5">
        <v>610.5</v>
      </c>
      <c r="F5">
        <v>14.2</v>
      </c>
      <c r="G5">
        <v>9103</v>
      </c>
      <c r="H5">
        <v>3541</v>
      </c>
      <c r="J5" s="3"/>
    </row>
    <row r="6" spans="1:24" x14ac:dyDescent="0.35">
      <c r="A6" t="s">
        <v>49</v>
      </c>
      <c r="B6" t="s">
        <v>93</v>
      </c>
      <c r="C6" t="s">
        <v>62</v>
      </c>
      <c r="D6" t="s">
        <v>14</v>
      </c>
      <c r="E6">
        <v>884</v>
      </c>
      <c r="F6">
        <v>17.3</v>
      </c>
      <c r="G6">
        <v>16058</v>
      </c>
      <c r="H6">
        <v>6277</v>
      </c>
      <c r="J6" s="3"/>
    </row>
    <row r="7" spans="1:24" x14ac:dyDescent="0.35">
      <c r="A7" t="s">
        <v>49</v>
      </c>
      <c r="B7" t="s">
        <v>93</v>
      </c>
      <c r="C7" t="s">
        <v>61</v>
      </c>
      <c r="D7" t="s">
        <v>14</v>
      </c>
      <c r="E7">
        <v>174</v>
      </c>
      <c r="F7">
        <v>0.7</v>
      </c>
      <c r="G7">
        <v>122</v>
      </c>
      <c r="H7">
        <v>105</v>
      </c>
      <c r="J7" s="2"/>
    </row>
    <row r="8" spans="1:24" x14ac:dyDescent="0.35">
      <c r="A8" t="s">
        <v>49</v>
      </c>
      <c r="B8" t="s">
        <v>93</v>
      </c>
      <c r="C8" t="s">
        <v>61</v>
      </c>
      <c r="D8" t="s">
        <v>14</v>
      </c>
      <c r="E8">
        <v>737</v>
      </c>
      <c r="F8">
        <v>0</v>
      </c>
      <c r="G8">
        <v>0</v>
      </c>
      <c r="H8">
        <v>0</v>
      </c>
    </row>
    <row r="9" spans="1:24" x14ac:dyDescent="0.35">
      <c r="A9" t="s">
        <v>49</v>
      </c>
      <c r="B9" t="s">
        <v>93</v>
      </c>
      <c r="C9" t="s">
        <v>60</v>
      </c>
      <c r="D9" t="s">
        <v>14</v>
      </c>
      <c r="E9">
        <v>2056</v>
      </c>
      <c r="F9">
        <v>0</v>
      </c>
      <c r="G9">
        <v>0</v>
      </c>
      <c r="H9">
        <v>0</v>
      </c>
    </row>
    <row r="10" spans="1:24" x14ac:dyDescent="0.35">
      <c r="A10" t="s">
        <v>49</v>
      </c>
      <c r="B10" t="s">
        <v>93</v>
      </c>
      <c r="C10" t="s">
        <v>59</v>
      </c>
      <c r="D10" t="s">
        <v>14</v>
      </c>
      <c r="E10">
        <v>1450</v>
      </c>
      <c r="F10">
        <v>0</v>
      </c>
      <c r="G10">
        <v>0</v>
      </c>
      <c r="H10">
        <v>0</v>
      </c>
    </row>
    <row r="11" spans="1:24" x14ac:dyDescent="0.35">
      <c r="A11" t="s">
        <v>49</v>
      </c>
      <c r="B11" t="s">
        <v>93</v>
      </c>
      <c r="C11" t="s">
        <v>59</v>
      </c>
      <c r="D11" t="s">
        <v>14</v>
      </c>
      <c r="E11">
        <v>2866</v>
      </c>
      <c r="F11">
        <v>0</v>
      </c>
      <c r="G11">
        <v>0</v>
      </c>
      <c r="H11">
        <v>0</v>
      </c>
    </row>
    <row r="12" spans="1:24" x14ac:dyDescent="0.35">
      <c r="A12" t="s">
        <v>49</v>
      </c>
      <c r="B12" t="s">
        <v>93</v>
      </c>
      <c r="C12" t="s">
        <v>58</v>
      </c>
      <c r="D12" t="s">
        <v>14</v>
      </c>
      <c r="E12">
        <v>2294</v>
      </c>
      <c r="F12">
        <v>0</v>
      </c>
      <c r="G12">
        <v>0</v>
      </c>
      <c r="H12">
        <v>0</v>
      </c>
    </row>
    <row r="13" spans="1:24" x14ac:dyDescent="0.35">
      <c r="A13" t="s">
        <v>49</v>
      </c>
      <c r="B13" t="s">
        <v>93</v>
      </c>
      <c r="C13" t="s">
        <v>57</v>
      </c>
      <c r="E13">
        <v>11621</v>
      </c>
      <c r="F13" s="1" t="s">
        <v>52</v>
      </c>
      <c r="G13">
        <v>41374</v>
      </c>
      <c r="H13">
        <v>13591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8769-F2E8-4AA1-99AE-49F147082235}">
  <dimension ref="A1:C3"/>
  <sheetViews>
    <sheetView workbookViewId="0">
      <selection sqref="A1:C3"/>
    </sheetView>
  </sheetViews>
  <sheetFormatPr defaultRowHeight="14.5" x14ac:dyDescent="0.35"/>
  <cols>
    <col min="3" max="3" width="11.453125" bestFit="1" customWidth="1"/>
  </cols>
  <sheetData>
    <row r="1" spans="1:3" x14ac:dyDescent="0.35">
      <c r="A1" t="s">
        <v>70</v>
      </c>
      <c r="B1" t="s">
        <v>13</v>
      </c>
      <c r="C1" t="s">
        <v>16</v>
      </c>
    </row>
    <row r="2" spans="1:3" x14ac:dyDescent="0.35">
      <c r="A2" t="s">
        <v>71</v>
      </c>
      <c r="B2" t="s">
        <v>14</v>
      </c>
      <c r="C2">
        <v>24</v>
      </c>
    </row>
    <row r="3" spans="1:3" x14ac:dyDescent="0.35">
      <c r="A3" t="s">
        <v>72</v>
      </c>
      <c r="B3" t="s">
        <v>14</v>
      </c>
      <c r="C3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AE9E-3322-4B4A-9B4E-E91F745D014A}">
  <dimension ref="A1:E20"/>
  <sheetViews>
    <sheetView workbookViewId="0">
      <selection activeCell="B27" sqref="B27"/>
    </sheetView>
  </sheetViews>
  <sheetFormatPr defaultRowHeight="14.5" x14ac:dyDescent="0.35"/>
  <cols>
    <col min="2" max="2" width="15.1796875" bestFit="1" customWidth="1"/>
    <col min="3" max="3" width="13.08984375" bestFit="1" customWidth="1"/>
    <col min="4" max="4" width="11.453125" bestFit="1" customWidth="1"/>
    <col min="5" max="5" width="17.1796875" bestFit="1" customWidth="1"/>
  </cols>
  <sheetData>
    <row r="1" spans="1:5" x14ac:dyDescent="0.35">
      <c r="A1" t="s">
        <v>8</v>
      </c>
      <c r="B1" t="s">
        <v>2</v>
      </c>
      <c r="C1" t="s">
        <v>13</v>
      </c>
      <c r="D1" t="s">
        <v>16</v>
      </c>
      <c r="E1" t="s">
        <v>174</v>
      </c>
    </row>
    <row r="2" spans="1:5" x14ac:dyDescent="0.35">
      <c r="A2" t="s">
        <v>78</v>
      </c>
      <c r="B2" t="s">
        <v>79</v>
      </c>
      <c r="C2" t="s">
        <v>85</v>
      </c>
      <c r="D2">
        <v>2.1</v>
      </c>
    </row>
    <row r="3" spans="1:5" x14ac:dyDescent="0.35">
      <c r="A3" t="s">
        <v>78</v>
      </c>
      <c r="B3" t="s">
        <v>80</v>
      </c>
      <c r="C3" t="s">
        <v>85</v>
      </c>
      <c r="D3">
        <v>4.3</v>
      </c>
    </row>
    <row r="4" spans="1:5" x14ac:dyDescent="0.35">
      <c r="A4" t="s">
        <v>78</v>
      </c>
      <c r="B4" t="s">
        <v>81</v>
      </c>
      <c r="C4" t="s">
        <v>85</v>
      </c>
      <c r="D4">
        <v>1.3</v>
      </c>
    </row>
    <row r="5" spans="1:5" x14ac:dyDescent="0.35">
      <c r="A5" t="s">
        <v>78</v>
      </c>
      <c r="B5" t="s">
        <v>82</v>
      </c>
      <c r="C5" t="s">
        <v>85</v>
      </c>
      <c r="D5">
        <v>0.9</v>
      </c>
    </row>
    <row r="6" spans="1:5" x14ac:dyDescent="0.35">
      <c r="A6" t="s">
        <v>78</v>
      </c>
      <c r="B6" t="s">
        <v>88</v>
      </c>
      <c r="C6" t="s">
        <v>85</v>
      </c>
      <c r="D6">
        <v>1.5</v>
      </c>
    </row>
    <row r="7" spans="1:5" x14ac:dyDescent="0.35">
      <c r="A7" t="s">
        <v>78</v>
      </c>
      <c r="B7" t="s">
        <v>83</v>
      </c>
      <c r="C7" t="s">
        <v>85</v>
      </c>
      <c r="D7">
        <v>6.2</v>
      </c>
    </row>
    <row r="8" spans="1:5" x14ac:dyDescent="0.35">
      <c r="A8" t="s">
        <v>78</v>
      </c>
      <c r="B8" t="s">
        <v>84</v>
      </c>
      <c r="C8" t="s">
        <v>85</v>
      </c>
      <c r="D8">
        <v>11.4</v>
      </c>
    </row>
    <row r="9" spans="1:5" x14ac:dyDescent="0.35">
      <c r="A9" t="s">
        <v>86</v>
      </c>
      <c r="B9" t="s">
        <v>80</v>
      </c>
      <c r="C9" t="s">
        <v>14</v>
      </c>
      <c r="D9" s="3">
        <f>306/120</f>
        <v>2.5499999999999998</v>
      </c>
      <c r="E9" s="2">
        <f>116.4/306</f>
        <v>0.38039215686274513</v>
      </c>
    </row>
    <row r="10" spans="1:5" x14ac:dyDescent="0.35">
      <c r="A10" t="s">
        <v>86</v>
      </c>
      <c r="B10" t="s">
        <v>81</v>
      </c>
      <c r="C10" t="s">
        <v>14</v>
      </c>
      <c r="D10" s="3">
        <f>326/120</f>
        <v>2.7166666666666668</v>
      </c>
      <c r="E10" s="2">
        <f>99.6/326</f>
        <v>0.30552147239263799</v>
      </c>
    </row>
    <row r="11" spans="1:5" x14ac:dyDescent="0.35">
      <c r="A11" t="s">
        <v>86</v>
      </c>
      <c r="B11" t="s">
        <v>82</v>
      </c>
      <c r="C11" t="s">
        <v>14</v>
      </c>
      <c r="D11" s="3">
        <f>124/120</f>
        <v>1.0333333333333334</v>
      </c>
      <c r="E11" s="2">
        <f>36/124</f>
        <v>0.29032258064516131</v>
      </c>
    </row>
    <row r="12" spans="1:5" x14ac:dyDescent="0.35">
      <c r="A12" t="s">
        <v>86</v>
      </c>
      <c r="B12" t="s">
        <v>88</v>
      </c>
      <c r="C12" t="s">
        <v>14</v>
      </c>
      <c r="D12" s="3">
        <f>101/120</f>
        <v>0.84166666666666667</v>
      </c>
      <c r="E12" s="2">
        <f>45.6/101</f>
        <v>0.4514851485148515</v>
      </c>
    </row>
    <row r="13" spans="1:5" x14ac:dyDescent="0.35">
      <c r="A13" t="s">
        <v>86</v>
      </c>
      <c r="B13" t="s">
        <v>83</v>
      </c>
      <c r="C13" t="s">
        <v>14</v>
      </c>
      <c r="D13" s="3">
        <f>276/120</f>
        <v>2.2999999999999998</v>
      </c>
      <c r="E13" s="2">
        <f>105.6/276</f>
        <v>0.38260869565217387</v>
      </c>
    </row>
    <row r="14" spans="1:5" x14ac:dyDescent="0.35">
      <c r="A14" t="s">
        <v>86</v>
      </c>
      <c r="B14" t="s">
        <v>84</v>
      </c>
      <c r="C14" t="s">
        <v>14</v>
      </c>
      <c r="D14" s="3">
        <f>1961/120</f>
        <v>16.341666666666665</v>
      </c>
      <c r="E14" s="2">
        <f>624.4/1961</f>
        <v>0.31840897501274856</v>
      </c>
    </row>
    <row r="15" spans="1:5" x14ac:dyDescent="0.35">
      <c r="A15" t="s">
        <v>87</v>
      </c>
      <c r="B15" t="s">
        <v>80</v>
      </c>
      <c r="C15" t="s">
        <v>14</v>
      </c>
      <c r="D15">
        <f>247/10</f>
        <v>24.7</v>
      </c>
      <c r="E15" s="2">
        <f>88.9/247</f>
        <v>0.35991902834008099</v>
      </c>
    </row>
    <row r="16" spans="1:5" x14ac:dyDescent="0.35">
      <c r="A16" t="s">
        <v>87</v>
      </c>
      <c r="B16" t="s">
        <v>81</v>
      </c>
      <c r="C16" t="s">
        <v>14</v>
      </c>
      <c r="D16">
        <f>73/10</f>
        <v>7.3</v>
      </c>
      <c r="E16" s="2">
        <f>26.4/73</f>
        <v>0.36164383561643831</v>
      </c>
    </row>
    <row r="17" spans="1:5" x14ac:dyDescent="0.35">
      <c r="A17" t="s">
        <v>87</v>
      </c>
      <c r="B17" t="s">
        <v>82</v>
      </c>
      <c r="C17" t="s">
        <v>14</v>
      </c>
      <c r="D17">
        <f>180/10</f>
        <v>18</v>
      </c>
      <c r="E17" s="2">
        <f>52.9/180</f>
        <v>0.29388888888888887</v>
      </c>
    </row>
    <row r="18" spans="1:5" x14ac:dyDescent="0.35">
      <c r="A18" t="s">
        <v>87</v>
      </c>
      <c r="B18" t="s">
        <v>88</v>
      </c>
      <c r="C18" t="s">
        <v>14</v>
      </c>
      <c r="D18">
        <f>23/10</f>
        <v>2.2999999999999998</v>
      </c>
      <c r="E18" s="2">
        <f>9.1/23</f>
        <v>0.39565217391304347</v>
      </c>
    </row>
    <row r="19" spans="1:5" x14ac:dyDescent="0.35">
      <c r="A19" t="s">
        <v>87</v>
      </c>
      <c r="B19" t="s">
        <v>83</v>
      </c>
      <c r="C19" t="s">
        <v>14</v>
      </c>
      <c r="D19">
        <f>182/10</f>
        <v>18.2</v>
      </c>
      <c r="E19" s="2">
        <f>56/182</f>
        <v>0.30769230769230771</v>
      </c>
    </row>
    <row r="20" spans="1:5" x14ac:dyDescent="0.35">
      <c r="A20" t="s">
        <v>87</v>
      </c>
      <c r="B20" t="s">
        <v>84</v>
      </c>
      <c r="C20" t="s">
        <v>14</v>
      </c>
      <c r="D20">
        <f>367/10</f>
        <v>36.700000000000003</v>
      </c>
      <c r="E20" s="2">
        <f>107.2/367</f>
        <v>0.29209809264305175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B7B1-E679-4FF3-9B73-2284FF265839}">
  <dimension ref="A1:P32"/>
  <sheetViews>
    <sheetView workbookViewId="0">
      <pane ySplit="1" topLeftCell="A9" activePane="bottomLeft" state="frozen"/>
      <selection pane="bottomLeft" activeCell="C32" sqref="C32"/>
    </sheetView>
  </sheetViews>
  <sheetFormatPr defaultRowHeight="14.5" x14ac:dyDescent="0.35"/>
  <cols>
    <col min="2" max="2" width="20" bestFit="1" customWidth="1"/>
    <col min="3" max="3" width="13" customWidth="1"/>
    <col min="4" max="4" width="13.81640625" bestFit="1" customWidth="1"/>
    <col min="5" max="5" width="11.453125" bestFit="1" customWidth="1"/>
    <col min="6" max="6" width="9.6328125" bestFit="1" customWidth="1"/>
  </cols>
  <sheetData>
    <row r="1" spans="1:16" x14ac:dyDescent="0.35">
      <c r="A1" t="s">
        <v>8</v>
      </c>
      <c r="B1" t="s">
        <v>2</v>
      </c>
      <c r="C1" t="s">
        <v>13</v>
      </c>
      <c r="D1" t="s">
        <v>9</v>
      </c>
      <c r="E1" t="s">
        <v>16</v>
      </c>
      <c r="F1" t="s">
        <v>19</v>
      </c>
      <c r="G1" t="s">
        <v>17</v>
      </c>
      <c r="H1" t="s">
        <v>18</v>
      </c>
      <c r="I1" t="s">
        <v>21</v>
      </c>
      <c r="J1" t="s">
        <v>22</v>
      </c>
      <c r="K1" t="s">
        <v>20</v>
      </c>
      <c r="L1" t="s">
        <v>23</v>
      </c>
      <c r="M1" t="s">
        <v>24</v>
      </c>
      <c r="N1" t="s">
        <v>25</v>
      </c>
      <c r="O1" t="s">
        <v>27</v>
      </c>
      <c r="P1" t="s">
        <v>26</v>
      </c>
    </row>
    <row r="2" spans="1:16" x14ac:dyDescent="0.35">
      <c r="A2" t="s">
        <v>29</v>
      </c>
      <c r="B2" t="s">
        <v>98</v>
      </c>
      <c r="C2" t="s">
        <v>14</v>
      </c>
      <c r="D2" t="s">
        <v>3</v>
      </c>
      <c r="E2">
        <v>7.0000000000000007E-2</v>
      </c>
      <c r="F2">
        <v>0.03</v>
      </c>
      <c r="G2">
        <v>13.57</v>
      </c>
      <c r="H2">
        <v>8.1199999999999992</v>
      </c>
      <c r="I2">
        <v>0.18</v>
      </c>
      <c r="J2">
        <v>0.08</v>
      </c>
      <c r="K2">
        <v>0.06</v>
      </c>
      <c r="L2">
        <v>0.03</v>
      </c>
      <c r="O2">
        <v>13.87</v>
      </c>
      <c r="P2">
        <v>8.26</v>
      </c>
    </row>
    <row r="3" spans="1:16" x14ac:dyDescent="0.35">
      <c r="A3" t="s">
        <v>29</v>
      </c>
      <c r="B3" t="s">
        <v>99</v>
      </c>
      <c r="C3" t="s">
        <v>14</v>
      </c>
      <c r="D3" t="s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O3">
        <v>0</v>
      </c>
      <c r="P3">
        <v>0</v>
      </c>
    </row>
    <row r="4" spans="1:16" x14ac:dyDescent="0.35">
      <c r="A4" t="s">
        <v>29</v>
      </c>
      <c r="B4" t="s">
        <v>99</v>
      </c>
      <c r="C4" t="s">
        <v>14</v>
      </c>
      <c r="D4" t="s">
        <v>4</v>
      </c>
      <c r="E4">
        <v>0</v>
      </c>
      <c r="F4">
        <v>0</v>
      </c>
      <c r="G4">
        <v>0.01</v>
      </c>
      <c r="H4">
        <v>0.01</v>
      </c>
      <c r="I4">
        <v>0</v>
      </c>
      <c r="J4">
        <v>0</v>
      </c>
      <c r="K4">
        <v>0</v>
      </c>
      <c r="L4">
        <v>0</v>
      </c>
      <c r="O4">
        <v>0.01</v>
      </c>
      <c r="P4">
        <v>0.01</v>
      </c>
    </row>
    <row r="5" spans="1:16" x14ac:dyDescent="0.35">
      <c r="A5" t="s">
        <v>29</v>
      </c>
      <c r="B5" t="s">
        <v>28</v>
      </c>
      <c r="C5" t="s">
        <v>14</v>
      </c>
      <c r="D5" t="s">
        <v>3</v>
      </c>
      <c r="E5">
        <v>0.08</v>
      </c>
      <c r="F5">
        <v>0.08</v>
      </c>
      <c r="G5">
        <v>0.03</v>
      </c>
      <c r="H5">
        <v>0.03</v>
      </c>
      <c r="I5">
        <v>0.02</v>
      </c>
      <c r="J5">
        <v>0.01</v>
      </c>
      <c r="K5">
        <v>0</v>
      </c>
      <c r="L5">
        <v>0</v>
      </c>
      <c r="O5">
        <v>0.13</v>
      </c>
      <c r="P5">
        <v>0.12</v>
      </c>
    </row>
    <row r="6" spans="1:16" x14ac:dyDescent="0.35">
      <c r="A6" t="s">
        <v>29</v>
      </c>
      <c r="B6" t="s">
        <v>28</v>
      </c>
      <c r="C6" t="s">
        <v>14</v>
      </c>
      <c r="D6" t="s">
        <v>4</v>
      </c>
      <c r="E6">
        <v>0.01</v>
      </c>
      <c r="F6">
        <v>0.01</v>
      </c>
      <c r="G6">
        <v>0.01</v>
      </c>
      <c r="H6">
        <v>0.01</v>
      </c>
      <c r="I6">
        <v>2E-3</v>
      </c>
      <c r="J6">
        <v>2E-3</v>
      </c>
      <c r="K6">
        <v>0</v>
      </c>
      <c r="L6">
        <v>0</v>
      </c>
      <c r="O6">
        <v>0.02</v>
      </c>
      <c r="P6">
        <v>0.01</v>
      </c>
    </row>
    <row r="7" spans="1:16" x14ac:dyDescent="0.35">
      <c r="A7" t="s">
        <v>29</v>
      </c>
      <c r="B7" t="s">
        <v>101</v>
      </c>
      <c r="C7" t="s">
        <v>14</v>
      </c>
      <c r="D7" t="s">
        <v>3</v>
      </c>
      <c r="E7">
        <v>0.01</v>
      </c>
      <c r="F7">
        <v>0.01</v>
      </c>
      <c r="G7">
        <v>0.09</v>
      </c>
      <c r="H7">
        <v>0.08</v>
      </c>
      <c r="I7">
        <v>0.01</v>
      </c>
      <c r="J7">
        <v>0.01</v>
      </c>
      <c r="K7">
        <v>3.0000000000000001E-3</v>
      </c>
      <c r="L7">
        <v>1E-3</v>
      </c>
      <c r="O7">
        <v>0.11</v>
      </c>
      <c r="P7">
        <v>0.09</v>
      </c>
    </row>
    <row r="8" spans="1:16" x14ac:dyDescent="0.35">
      <c r="A8" t="s">
        <v>29</v>
      </c>
      <c r="B8" t="s">
        <v>101</v>
      </c>
      <c r="C8" t="s">
        <v>14</v>
      </c>
      <c r="D8" t="s">
        <v>4</v>
      </c>
      <c r="E8">
        <v>4.0000000000000001E-3</v>
      </c>
      <c r="F8">
        <v>4.0000000000000001E-3</v>
      </c>
      <c r="G8">
        <v>0.03</v>
      </c>
      <c r="H8">
        <v>0.05</v>
      </c>
      <c r="I8">
        <v>0</v>
      </c>
      <c r="J8">
        <v>0</v>
      </c>
      <c r="K8">
        <v>0</v>
      </c>
      <c r="L8">
        <v>0</v>
      </c>
      <c r="O8">
        <v>0.03</v>
      </c>
      <c r="P8">
        <v>0.03</v>
      </c>
    </row>
    <row r="9" spans="1:16" x14ac:dyDescent="0.35">
      <c r="A9" t="s">
        <v>29</v>
      </c>
      <c r="B9" t="s">
        <v>100</v>
      </c>
      <c r="C9" t="s">
        <v>14</v>
      </c>
      <c r="D9" t="s">
        <v>3</v>
      </c>
      <c r="E9">
        <v>0.02</v>
      </c>
      <c r="F9">
        <v>0.01</v>
      </c>
      <c r="G9">
        <v>0.28999999999999998</v>
      </c>
      <c r="H9">
        <v>0.21</v>
      </c>
      <c r="I9">
        <v>5.0000000000000001E-3</v>
      </c>
      <c r="J9">
        <v>5.0000000000000001E-3</v>
      </c>
      <c r="K9">
        <v>4.0000000000000001E-3</v>
      </c>
      <c r="L9">
        <v>3.0000000000000001E-3</v>
      </c>
      <c r="O9">
        <v>0.32</v>
      </c>
      <c r="P9">
        <v>0.22</v>
      </c>
    </row>
    <row r="10" spans="1:16" x14ac:dyDescent="0.35">
      <c r="A10" t="s">
        <v>29</v>
      </c>
      <c r="B10" t="s">
        <v>100</v>
      </c>
      <c r="C10" t="s">
        <v>14</v>
      </c>
      <c r="D10" t="s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O10">
        <v>0</v>
      </c>
      <c r="P10">
        <v>0</v>
      </c>
    </row>
    <row r="11" spans="1:16" x14ac:dyDescent="0.35">
      <c r="A11" t="s">
        <v>29</v>
      </c>
      <c r="B11" t="s">
        <v>102</v>
      </c>
      <c r="C11" t="s">
        <v>14</v>
      </c>
      <c r="D11" t="s">
        <v>3</v>
      </c>
      <c r="E11">
        <v>0.1</v>
      </c>
      <c r="F11" t="s">
        <v>5</v>
      </c>
      <c r="G11">
        <v>0.49</v>
      </c>
      <c r="H11" t="s">
        <v>5</v>
      </c>
      <c r="I11">
        <v>46.69</v>
      </c>
      <c r="J11" t="s">
        <v>5</v>
      </c>
      <c r="K11">
        <v>0.1</v>
      </c>
      <c r="L11" t="s">
        <v>5</v>
      </c>
      <c r="M11">
        <v>0.03</v>
      </c>
      <c r="N11" t="s">
        <v>5</v>
      </c>
      <c r="O11">
        <v>0.72</v>
      </c>
      <c r="P11" t="s">
        <v>5</v>
      </c>
    </row>
    <row r="12" spans="1:16" x14ac:dyDescent="0.35">
      <c r="A12" t="s">
        <v>29</v>
      </c>
      <c r="B12" t="s">
        <v>102</v>
      </c>
      <c r="C12" t="s">
        <v>14</v>
      </c>
      <c r="D12" t="s">
        <v>4</v>
      </c>
      <c r="E12">
        <v>0</v>
      </c>
      <c r="F12" t="s">
        <v>5</v>
      </c>
      <c r="G12">
        <v>0.02</v>
      </c>
      <c r="H12" t="s">
        <v>5</v>
      </c>
      <c r="I12">
        <v>0.38</v>
      </c>
      <c r="J12" t="s">
        <v>5</v>
      </c>
      <c r="K12">
        <v>0</v>
      </c>
      <c r="L12" t="s">
        <v>5</v>
      </c>
      <c r="M12">
        <v>0.02</v>
      </c>
      <c r="N12" t="s">
        <v>5</v>
      </c>
      <c r="O12">
        <v>0.03</v>
      </c>
      <c r="P12" t="s">
        <v>5</v>
      </c>
    </row>
    <row r="13" spans="1:16" x14ac:dyDescent="0.35">
      <c r="A13" t="s">
        <v>29</v>
      </c>
      <c r="B13" t="s">
        <v>30</v>
      </c>
      <c r="C13" t="s">
        <v>14</v>
      </c>
      <c r="D13" t="s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29</v>
      </c>
      <c r="B14" t="s">
        <v>30</v>
      </c>
      <c r="C14" t="s">
        <v>14</v>
      </c>
      <c r="D14" t="s">
        <v>4</v>
      </c>
      <c r="E14">
        <v>3.0000000000000001E-3</v>
      </c>
      <c r="F14">
        <v>3.0000000000000001E-3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3.0000000000000001E-3</v>
      </c>
      <c r="P14">
        <v>3.0000000000000001E-3</v>
      </c>
    </row>
    <row r="15" spans="1:16" x14ac:dyDescent="0.35">
      <c r="A15" t="s">
        <v>29</v>
      </c>
      <c r="B15" t="s">
        <v>103</v>
      </c>
      <c r="C15" t="s">
        <v>14</v>
      </c>
      <c r="D15" t="s">
        <v>3</v>
      </c>
      <c r="E15">
        <v>0.47</v>
      </c>
      <c r="F15">
        <v>0.47</v>
      </c>
      <c r="G15">
        <v>0.23</v>
      </c>
      <c r="H15">
        <v>0.19</v>
      </c>
      <c r="I15">
        <v>16.09</v>
      </c>
      <c r="J15">
        <v>10.27</v>
      </c>
      <c r="K15">
        <v>0.3</v>
      </c>
      <c r="L15">
        <v>0.25</v>
      </c>
      <c r="M15">
        <v>0.02</v>
      </c>
      <c r="N15">
        <v>0.02</v>
      </c>
      <c r="O15">
        <v>1.01</v>
      </c>
      <c r="P15">
        <v>0.93</v>
      </c>
    </row>
    <row r="16" spans="1:16" x14ac:dyDescent="0.35">
      <c r="A16" t="s">
        <v>29</v>
      </c>
      <c r="B16" t="s">
        <v>103</v>
      </c>
      <c r="C16" t="s">
        <v>14</v>
      </c>
      <c r="D16" t="s">
        <v>4</v>
      </c>
      <c r="E16">
        <v>0.01</v>
      </c>
      <c r="F16">
        <v>0.01</v>
      </c>
      <c r="G16">
        <v>0.01</v>
      </c>
      <c r="H16">
        <v>0.01</v>
      </c>
      <c r="I16">
        <v>1.03</v>
      </c>
      <c r="J16">
        <v>1.03</v>
      </c>
      <c r="K16">
        <v>0.01</v>
      </c>
      <c r="L16">
        <v>0.01</v>
      </c>
      <c r="M16">
        <v>3.0000000000000001E-3</v>
      </c>
      <c r="N16">
        <v>2E-3</v>
      </c>
      <c r="O16">
        <v>0.03</v>
      </c>
      <c r="P16">
        <v>0.02</v>
      </c>
    </row>
    <row r="17" spans="1:16" x14ac:dyDescent="0.35">
      <c r="A17" t="s">
        <v>29</v>
      </c>
      <c r="B17" t="s">
        <v>31</v>
      </c>
      <c r="C17" t="s">
        <v>14</v>
      </c>
      <c r="D17" t="s">
        <v>3</v>
      </c>
      <c r="E17">
        <v>0</v>
      </c>
      <c r="F17" t="s">
        <v>5</v>
      </c>
      <c r="G17">
        <v>0</v>
      </c>
      <c r="H17" t="s">
        <v>5</v>
      </c>
      <c r="I17">
        <v>0</v>
      </c>
      <c r="J17" t="s">
        <v>5</v>
      </c>
      <c r="K17">
        <v>0</v>
      </c>
      <c r="L17" t="s">
        <v>5</v>
      </c>
      <c r="M17">
        <v>0</v>
      </c>
      <c r="N17" t="s">
        <v>5</v>
      </c>
      <c r="O17">
        <v>0</v>
      </c>
      <c r="P17" t="s">
        <v>5</v>
      </c>
    </row>
    <row r="18" spans="1:16" x14ac:dyDescent="0.35">
      <c r="A18" t="s">
        <v>29</v>
      </c>
      <c r="B18" t="s">
        <v>31</v>
      </c>
      <c r="C18" t="s">
        <v>14</v>
      </c>
      <c r="D18" t="s">
        <v>4</v>
      </c>
      <c r="E18">
        <v>2E-3</v>
      </c>
      <c r="F18">
        <v>2E-3</v>
      </c>
      <c r="G18">
        <v>2E-3</v>
      </c>
      <c r="H18">
        <v>1E-3</v>
      </c>
      <c r="I18">
        <v>0.57999999999999996</v>
      </c>
      <c r="J18">
        <v>0.48</v>
      </c>
      <c r="K18">
        <v>3.0000000000000001E-3</v>
      </c>
      <c r="L18">
        <v>2E-3</v>
      </c>
      <c r="M18">
        <v>7.0000000000000001E-3</v>
      </c>
      <c r="N18">
        <v>1E-3</v>
      </c>
      <c r="O18">
        <v>7.0000000000000001E-3</v>
      </c>
      <c r="P18">
        <v>5.0000000000000001E-3</v>
      </c>
    </row>
    <row r="19" spans="1:16" x14ac:dyDescent="0.35">
      <c r="A19" t="s">
        <v>29</v>
      </c>
      <c r="B19" t="s">
        <v>113</v>
      </c>
      <c r="C19" t="s">
        <v>14</v>
      </c>
      <c r="D19" t="s">
        <v>4</v>
      </c>
      <c r="E19">
        <v>2.9999999999999997E-4</v>
      </c>
      <c r="F19">
        <v>2.9999999999999997E-4</v>
      </c>
      <c r="G19">
        <v>3.0000000000000001E-3</v>
      </c>
      <c r="H19">
        <v>2E-3</v>
      </c>
      <c r="I19">
        <v>2.81</v>
      </c>
      <c r="J19">
        <v>2.2400000000000002</v>
      </c>
      <c r="K19">
        <v>2E-3</v>
      </c>
      <c r="L19">
        <v>1E-3</v>
      </c>
      <c r="M19">
        <v>2.0000000000000001E-4</v>
      </c>
      <c r="N19">
        <v>2.0000000000000001E-4</v>
      </c>
      <c r="O19">
        <v>6.0000000000000001E-3</v>
      </c>
      <c r="P19">
        <v>2E-3</v>
      </c>
    </row>
    <row r="20" spans="1:16" x14ac:dyDescent="0.35">
      <c r="A20" t="s">
        <v>29</v>
      </c>
      <c r="B20" t="s">
        <v>12</v>
      </c>
      <c r="C20" t="s">
        <v>14</v>
      </c>
      <c r="D20" t="s">
        <v>3</v>
      </c>
      <c r="E20">
        <v>0.05</v>
      </c>
      <c r="F20" t="s">
        <v>5</v>
      </c>
      <c r="G20">
        <v>0.03</v>
      </c>
      <c r="H20" t="s">
        <v>5</v>
      </c>
      <c r="I20">
        <v>14.77</v>
      </c>
      <c r="J20" t="s">
        <v>5</v>
      </c>
      <c r="K20">
        <v>0.02</v>
      </c>
      <c r="L20" t="s">
        <v>5</v>
      </c>
      <c r="M20">
        <v>0.01</v>
      </c>
      <c r="N20" t="s">
        <v>5</v>
      </c>
      <c r="O20">
        <v>0.11</v>
      </c>
      <c r="P20" t="s">
        <v>5</v>
      </c>
    </row>
    <row r="21" spans="1:16" x14ac:dyDescent="0.35">
      <c r="A21" t="s">
        <v>10</v>
      </c>
      <c r="B21" t="s">
        <v>11</v>
      </c>
      <c r="C21" t="s">
        <v>15</v>
      </c>
      <c r="D21" t="s">
        <v>4</v>
      </c>
      <c r="E21">
        <v>0</v>
      </c>
      <c r="G21">
        <v>1.2E-2</v>
      </c>
      <c r="I21">
        <v>2E-3</v>
      </c>
      <c r="K21">
        <v>1E-3</v>
      </c>
      <c r="M21">
        <v>3.0000000000000001E-3</v>
      </c>
      <c r="O21">
        <v>1.7999999999999999E-2</v>
      </c>
    </row>
    <row r="22" spans="1:16" x14ac:dyDescent="0.35">
      <c r="A22" t="s">
        <v>10</v>
      </c>
      <c r="B22" t="s">
        <v>11</v>
      </c>
      <c r="C22" t="s">
        <v>15</v>
      </c>
      <c r="D22" t="s">
        <v>3</v>
      </c>
      <c r="E22">
        <v>0</v>
      </c>
      <c r="G22">
        <v>5.0000000000000001E-3</v>
      </c>
      <c r="I22">
        <v>5.0000000000000001E-3</v>
      </c>
      <c r="K22">
        <v>3.0000000000000001E-3</v>
      </c>
      <c r="M22">
        <v>7.0000000000000001E-3</v>
      </c>
      <c r="O22">
        <v>0.02</v>
      </c>
    </row>
    <row r="23" spans="1:16" x14ac:dyDescent="0.35">
      <c r="A23" t="s">
        <v>10</v>
      </c>
      <c r="B23" t="s">
        <v>11</v>
      </c>
      <c r="C23" t="s">
        <v>15</v>
      </c>
      <c r="D23" t="s">
        <v>6</v>
      </c>
      <c r="E23">
        <v>0</v>
      </c>
      <c r="G23">
        <v>8.0000000000000002E-3</v>
      </c>
      <c r="I23">
        <v>3.0000000000000001E-3</v>
      </c>
      <c r="K23">
        <v>2E-3</v>
      </c>
      <c r="M23">
        <v>5.0000000000000001E-3</v>
      </c>
      <c r="O23">
        <v>1.9E-2</v>
      </c>
    </row>
    <row r="24" spans="1:16" x14ac:dyDescent="0.35">
      <c r="A24" t="s">
        <v>10</v>
      </c>
      <c r="B24" t="s">
        <v>12</v>
      </c>
      <c r="C24" t="s">
        <v>15</v>
      </c>
      <c r="D24" t="s">
        <v>4</v>
      </c>
      <c r="E24">
        <v>8.0000000000000002E-3</v>
      </c>
      <c r="G24">
        <v>0</v>
      </c>
      <c r="I24">
        <v>2E-3</v>
      </c>
      <c r="K24">
        <v>2E-3</v>
      </c>
      <c r="M24">
        <v>2E-3</v>
      </c>
      <c r="O24">
        <v>1.2999999999999999E-2</v>
      </c>
    </row>
    <row r="25" spans="1:16" x14ac:dyDescent="0.35">
      <c r="A25" t="s">
        <v>10</v>
      </c>
      <c r="B25" t="s">
        <v>12</v>
      </c>
      <c r="C25" t="s">
        <v>15</v>
      </c>
      <c r="D25" t="s">
        <v>3</v>
      </c>
      <c r="E25">
        <v>0</v>
      </c>
      <c r="G25">
        <v>1E-3</v>
      </c>
      <c r="I25">
        <v>1E-3</v>
      </c>
      <c r="K25">
        <v>0</v>
      </c>
      <c r="M25">
        <v>8.0000000000000002E-3</v>
      </c>
      <c r="O25">
        <v>0.01</v>
      </c>
    </row>
    <row r="26" spans="1:16" x14ac:dyDescent="0.35">
      <c r="A26" t="s">
        <v>10</v>
      </c>
      <c r="B26" t="s">
        <v>12</v>
      </c>
      <c r="C26" t="s">
        <v>15</v>
      </c>
      <c r="D26" t="s">
        <v>6</v>
      </c>
      <c r="E26">
        <v>4.0000000000000001E-3</v>
      </c>
      <c r="G26">
        <v>1E-3</v>
      </c>
      <c r="I26">
        <v>1E-3</v>
      </c>
      <c r="K26">
        <v>1E-3</v>
      </c>
      <c r="M26">
        <v>5.0000000000000001E-3</v>
      </c>
      <c r="O26">
        <v>1.0999999999999999E-2</v>
      </c>
    </row>
    <row r="27" spans="1:16" x14ac:dyDescent="0.35">
      <c r="A27" t="s">
        <v>7</v>
      </c>
      <c r="B27" t="s">
        <v>11</v>
      </c>
      <c r="C27" t="s">
        <v>15</v>
      </c>
      <c r="D27" t="s">
        <v>4</v>
      </c>
      <c r="E27">
        <v>0.4</v>
      </c>
      <c r="G27">
        <v>0.2</v>
      </c>
      <c r="I27">
        <v>0.2</v>
      </c>
      <c r="K27">
        <v>0</v>
      </c>
      <c r="O27">
        <v>0.8</v>
      </c>
    </row>
    <row r="28" spans="1:16" x14ac:dyDescent="0.35">
      <c r="A28" t="s">
        <v>7</v>
      </c>
      <c r="B28" t="s">
        <v>11</v>
      </c>
      <c r="C28" t="s">
        <v>15</v>
      </c>
      <c r="D28" t="s">
        <v>3</v>
      </c>
      <c r="E28">
        <v>0</v>
      </c>
      <c r="G28">
        <v>3</v>
      </c>
      <c r="I28">
        <v>1.4</v>
      </c>
      <c r="K28">
        <v>0.8</v>
      </c>
      <c r="O28">
        <v>5.2</v>
      </c>
    </row>
    <row r="29" spans="1:16" x14ac:dyDescent="0.35">
      <c r="A29" t="s">
        <v>7</v>
      </c>
      <c r="B29" t="s">
        <v>11</v>
      </c>
      <c r="C29" t="s">
        <v>15</v>
      </c>
      <c r="D29" t="s">
        <v>6</v>
      </c>
      <c r="E29">
        <v>0.2</v>
      </c>
      <c r="G29">
        <v>1.6</v>
      </c>
      <c r="I29">
        <v>0.8</v>
      </c>
      <c r="K29">
        <v>0.4</v>
      </c>
      <c r="O29">
        <v>3</v>
      </c>
    </row>
    <row r="30" spans="1:16" x14ac:dyDescent="0.35">
      <c r="A30" t="s">
        <v>7</v>
      </c>
      <c r="B30" t="s">
        <v>12</v>
      </c>
      <c r="C30" t="s">
        <v>15</v>
      </c>
      <c r="D30" t="s">
        <v>4</v>
      </c>
      <c r="E30">
        <v>0</v>
      </c>
      <c r="G30">
        <v>0</v>
      </c>
      <c r="I30">
        <v>0.5</v>
      </c>
      <c r="K30">
        <v>0</v>
      </c>
      <c r="O30">
        <v>0.5</v>
      </c>
    </row>
    <row r="31" spans="1:16" x14ac:dyDescent="0.35">
      <c r="A31" t="s">
        <v>7</v>
      </c>
      <c r="B31" t="s">
        <v>12</v>
      </c>
      <c r="C31" t="s">
        <v>15</v>
      </c>
      <c r="D31" t="s">
        <v>3</v>
      </c>
      <c r="E31">
        <v>0.13</v>
      </c>
      <c r="G31">
        <v>0.25</v>
      </c>
      <c r="I31">
        <v>0.25</v>
      </c>
      <c r="K31">
        <v>0.13</v>
      </c>
      <c r="O31">
        <v>0.75</v>
      </c>
    </row>
    <row r="32" spans="1:16" x14ac:dyDescent="0.35">
      <c r="A32" t="s">
        <v>7</v>
      </c>
      <c r="B32" t="s">
        <v>12</v>
      </c>
      <c r="C32" t="s">
        <v>15</v>
      </c>
      <c r="D32" t="s">
        <v>6</v>
      </c>
      <c r="E32">
        <v>0.06</v>
      </c>
      <c r="G32">
        <v>0.13</v>
      </c>
      <c r="I32">
        <v>0.38</v>
      </c>
      <c r="K32">
        <v>6.3E-2</v>
      </c>
      <c r="O32">
        <v>0.63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7E98-F5FC-42A3-B8F7-DB6442C1FF00}">
  <dimension ref="A2:O15"/>
  <sheetViews>
    <sheetView workbookViewId="0">
      <selection activeCell="L10" sqref="L10"/>
    </sheetView>
  </sheetViews>
  <sheetFormatPr defaultRowHeight="14.5" x14ac:dyDescent="0.35"/>
  <cols>
    <col min="2" max="2" width="16.36328125" bestFit="1" customWidth="1"/>
    <col min="4" max="4" width="18.90625" bestFit="1" customWidth="1"/>
    <col min="5" max="5" width="19.1796875" bestFit="1" customWidth="1"/>
    <col min="6" max="6" width="16" bestFit="1" customWidth="1"/>
    <col min="7" max="7" width="19.1796875" bestFit="1" customWidth="1"/>
    <col min="8" max="8" width="13.36328125" bestFit="1" customWidth="1"/>
    <col min="9" max="9" width="16.26953125" bestFit="1" customWidth="1"/>
    <col min="10" max="10" width="14.08984375" bestFit="1" customWidth="1"/>
    <col min="11" max="11" width="17.08984375" bestFit="1" customWidth="1"/>
    <col min="14" max="14" width="9.7265625" bestFit="1" customWidth="1"/>
  </cols>
  <sheetData>
    <row r="2" spans="1:15" x14ac:dyDescent="0.35">
      <c r="A2" t="s">
        <v>8</v>
      </c>
      <c r="B2" t="s">
        <v>2</v>
      </c>
      <c r="C2" t="s">
        <v>13</v>
      </c>
      <c r="D2" t="s">
        <v>39</v>
      </c>
      <c r="E2" t="s">
        <v>40</v>
      </c>
      <c r="F2" t="s">
        <v>41</v>
      </c>
      <c r="G2" t="s">
        <v>42</v>
      </c>
      <c r="H2" t="s">
        <v>45</v>
      </c>
      <c r="I2" t="s">
        <v>46</v>
      </c>
      <c r="J2" t="s">
        <v>43</v>
      </c>
      <c r="K2" t="s">
        <v>44</v>
      </c>
      <c r="L2" t="s">
        <v>37</v>
      </c>
      <c r="M2" t="s">
        <v>38</v>
      </c>
      <c r="N2" t="s">
        <v>27</v>
      </c>
      <c r="O2" t="s">
        <v>26</v>
      </c>
    </row>
    <row r="3" spans="1:15" x14ac:dyDescent="0.35">
      <c r="A3" t="s">
        <v>32</v>
      </c>
      <c r="B3" t="s">
        <v>33</v>
      </c>
      <c r="C3" t="s">
        <v>47</v>
      </c>
      <c r="D3">
        <f>0/10000</f>
        <v>0</v>
      </c>
      <c r="E3">
        <f>0/10000</f>
        <v>0</v>
      </c>
      <c r="F3">
        <f>0.077/10000</f>
        <v>7.6999999999999991E-6</v>
      </c>
      <c r="G3">
        <f>0.009/10000</f>
        <v>8.9999999999999996E-7</v>
      </c>
      <c r="H3">
        <f>0.175/10000</f>
        <v>1.7499999999999998E-5</v>
      </c>
      <c r="I3">
        <f>0.023/10000</f>
        <v>2.3E-6</v>
      </c>
      <c r="J3">
        <v>1.4E-2</v>
      </c>
      <c r="K3">
        <v>3.0000000000000001E-3</v>
      </c>
      <c r="L3">
        <v>3.4000000000000002E-2</v>
      </c>
      <c r="M3">
        <v>7.0000000000000001E-3</v>
      </c>
    </row>
    <row r="4" spans="1:15" x14ac:dyDescent="0.35">
      <c r="A4" t="s">
        <v>32</v>
      </c>
      <c r="B4" t="s">
        <v>48</v>
      </c>
      <c r="C4" t="s">
        <v>47</v>
      </c>
      <c r="D4">
        <f>0.051/10000</f>
        <v>5.0999999999999995E-6</v>
      </c>
      <c r="E4">
        <f>0.011/10000</f>
        <v>1.0999999999999998E-6</v>
      </c>
      <c r="F4">
        <f>0.101/10000</f>
        <v>1.01E-5</v>
      </c>
      <c r="G4">
        <f>0.019/10000</f>
        <v>1.9E-6</v>
      </c>
      <c r="H4">
        <f>0.186/10000</f>
        <v>1.8600000000000001E-5</v>
      </c>
      <c r="I4">
        <f>0.022/10000</f>
        <v>2.1999999999999997E-6</v>
      </c>
      <c r="J4">
        <v>0.15</v>
      </c>
      <c r="K4">
        <v>1.7999999999999999E-2</v>
      </c>
      <c r="L4">
        <v>0.37</v>
      </c>
      <c r="M4">
        <v>4.7E-2</v>
      </c>
    </row>
    <row r="5" spans="1:15" x14ac:dyDescent="0.35">
      <c r="A5" t="s">
        <v>32</v>
      </c>
      <c r="B5" t="s">
        <v>34</v>
      </c>
      <c r="C5" t="s">
        <v>47</v>
      </c>
      <c r="D5">
        <f>0.045/10000</f>
        <v>4.5000000000000001E-6</v>
      </c>
      <c r="E5">
        <f>0.022/10000</f>
        <v>2.1999999999999997E-6</v>
      </c>
      <c r="F5">
        <f>0.263/10000</f>
        <v>2.6300000000000002E-5</v>
      </c>
      <c r="G5">
        <f>0.032/10000</f>
        <v>3.1999999999999999E-6</v>
      </c>
      <c r="H5">
        <f>0.421/10000</f>
        <v>4.21E-5</v>
      </c>
      <c r="I5">
        <f>0.047/10000</f>
        <v>4.6999999999999999E-6</v>
      </c>
      <c r="J5">
        <v>6.9000000000000006E-2</v>
      </c>
      <c r="K5">
        <v>1.0999999999999999E-2</v>
      </c>
      <c r="L5">
        <v>0.27200000000000002</v>
      </c>
      <c r="M5">
        <v>8.4000000000000005E-2</v>
      </c>
    </row>
    <row r="6" spans="1:15" x14ac:dyDescent="0.35">
      <c r="A6" t="s">
        <v>32</v>
      </c>
      <c r="B6" t="s">
        <v>35</v>
      </c>
      <c r="C6" t="s">
        <v>47</v>
      </c>
      <c r="D6">
        <f>0.256/10000</f>
        <v>2.5599999999999999E-5</v>
      </c>
      <c r="E6">
        <f>0.081/10000</f>
        <v>8.1000000000000004E-6</v>
      </c>
      <c r="F6">
        <f>0.12/10000</f>
        <v>1.2E-5</v>
      </c>
      <c r="G6">
        <f>0.043/10000</f>
        <v>4.2999999999999995E-6</v>
      </c>
      <c r="H6">
        <f>0.553/10000</f>
        <v>5.5300000000000002E-5</v>
      </c>
      <c r="I6">
        <f>0.132/10000</f>
        <v>1.3200000000000001E-5</v>
      </c>
      <c r="J6">
        <v>0.78500000000000003</v>
      </c>
      <c r="K6">
        <v>9.6000000000000002E-2</v>
      </c>
      <c r="L6">
        <v>0.98199999999999998</v>
      </c>
      <c r="M6">
        <v>0.19400000000000001</v>
      </c>
    </row>
    <row r="7" spans="1:15" x14ac:dyDescent="0.35">
      <c r="A7" t="s">
        <v>32</v>
      </c>
      <c r="B7" t="s">
        <v>36</v>
      </c>
      <c r="C7" t="s">
        <v>47</v>
      </c>
      <c r="D7">
        <f>0.159/10000</f>
        <v>1.59E-5</v>
      </c>
      <c r="E7">
        <f>0.057/10000</f>
        <v>5.7000000000000005E-6</v>
      </c>
      <c r="F7">
        <f>0.023/10000</f>
        <v>2.3E-6</v>
      </c>
      <c r="G7">
        <f>0.012/10000</f>
        <v>1.1999999999999999E-6</v>
      </c>
      <c r="H7">
        <f>0.527/10000</f>
        <v>5.27E-5</v>
      </c>
      <c r="I7">
        <f>0.128/10000</f>
        <v>1.2799999999999999E-5</v>
      </c>
      <c r="J7">
        <v>0.18099999999999999</v>
      </c>
      <c r="K7">
        <v>6.2E-2</v>
      </c>
      <c r="L7">
        <v>0.42799999999999999</v>
      </c>
      <c r="M7">
        <v>8.5999999999999993E-2</v>
      </c>
    </row>
    <row r="10" spans="1:15" x14ac:dyDescent="0.35">
      <c r="D10" t="s">
        <v>178</v>
      </c>
      <c r="E10" t="s">
        <v>177</v>
      </c>
      <c r="F10" t="s">
        <v>181</v>
      </c>
      <c r="G10" t="s">
        <v>182</v>
      </c>
      <c r="H10" t="s">
        <v>175</v>
      </c>
      <c r="I10" t="s">
        <v>176</v>
      </c>
      <c r="J10" t="s">
        <v>179</v>
      </c>
      <c r="K10" t="s">
        <v>180</v>
      </c>
      <c r="L10" t="s">
        <v>174</v>
      </c>
    </row>
    <row r="11" spans="1:15" x14ac:dyDescent="0.35">
      <c r="B11" t="s">
        <v>33</v>
      </c>
      <c r="D11">
        <v>59</v>
      </c>
      <c r="E11">
        <v>42</v>
      </c>
      <c r="F11">
        <v>0.3</v>
      </c>
      <c r="G11">
        <v>0.2</v>
      </c>
      <c r="H11" s="6">
        <v>9922</v>
      </c>
      <c r="I11" s="6">
        <v>1187</v>
      </c>
      <c r="J11">
        <v>281</v>
      </c>
      <c r="K11">
        <v>34</v>
      </c>
      <c r="L11">
        <f>((F11+J11)*1000)/(D11+H11)</f>
        <v>28.183548742610959</v>
      </c>
    </row>
    <row r="12" spans="1:15" x14ac:dyDescent="0.35">
      <c r="B12" t="s">
        <v>48</v>
      </c>
      <c r="D12" s="6">
        <v>2284</v>
      </c>
      <c r="E12">
        <v>485</v>
      </c>
      <c r="F12">
        <v>26</v>
      </c>
      <c r="G12">
        <v>6</v>
      </c>
      <c r="H12" s="6">
        <v>4570</v>
      </c>
      <c r="I12">
        <v>855</v>
      </c>
      <c r="J12">
        <v>52</v>
      </c>
      <c r="K12">
        <v>10</v>
      </c>
      <c r="L12">
        <f t="shared" ref="L12:L15" si="0">((F12+J12)*1000)/(D12+H12)</f>
        <v>11.380215932302304</v>
      </c>
    </row>
    <row r="13" spans="1:15" x14ac:dyDescent="0.35">
      <c r="B13" t="s">
        <v>34</v>
      </c>
      <c r="D13" s="6">
        <v>2390</v>
      </c>
      <c r="E13" s="6">
        <v>1170</v>
      </c>
      <c r="F13">
        <v>14</v>
      </c>
      <c r="G13">
        <v>7</v>
      </c>
      <c r="H13" s="6">
        <v>14100</v>
      </c>
      <c r="I13" s="6">
        <v>1700</v>
      </c>
      <c r="J13">
        <v>160</v>
      </c>
      <c r="K13">
        <v>19</v>
      </c>
      <c r="L13">
        <f t="shared" si="0"/>
        <v>10.55184960582171</v>
      </c>
    </row>
    <row r="14" spans="1:15" x14ac:dyDescent="0.35">
      <c r="B14" t="s">
        <v>35</v>
      </c>
      <c r="D14" s="6">
        <v>4849</v>
      </c>
      <c r="E14" s="6">
        <v>1532</v>
      </c>
      <c r="F14">
        <v>27</v>
      </c>
      <c r="G14">
        <v>8</v>
      </c>
      <c r="H14" s="6">
        <v>2278</v>
      </c>
      <c r="I14">
        <v>814</v>
      </c>
      <c r="J14">
        <v>26</v>
      </c>
      <c r="K14">
        <v>9</v>
      </c>
      <c r="L14">
        <f t="shared" si="0"/>
        <v>7.4365090500912023</v>
      </c>
    </row>
    <row r="15" spans="1:15" x14ac:dyDescent="0.35">
      <c r="B15" t="s">
        <v>36</v>
      </c>
      <c r="D15" s="6">
        <v>3476</v>
      </c>
      <c r="E15" s="6">
        <v>1242</v>
      </c>
      <c r="F15">
        <v>20</v>
      </c>
      <c r="G15">
        <v>7</v>
      </c>
      <c r="H15">
        <v>499</v>
      </c>
      <c r="I15">
        <v>261</v>
      </c>
      <c r="J15">
        <v>6</v>
      </c>
      <c r="K15">
        <v>3</v>
      </c>
      <c r="L15">
        <f t="shared" si="0"/>
        <v>6.5408805031446544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5C5C-469B-4AD3-BBC4-B0E5393D72CE}">
  <dimension ref="A1:Q19"/>
  <sheetViews>
    <sheetView workbookViewId="0">
      <selection activeCell="K6" sqref="K6"/>
    </sheetView>
  </sheetViews>
  <sheetFormatPr defaultRowHeight="14.5" x14ac:dyDescent="0.35"/>
  <cols>
    <col min="2" max="2" width="11.1796875" bestFit="1" customWidth="1"/>
    <col min="3" max="3" width="20.453125" bestFit="1" customWidth="1"/>
    <col min="4" max="6" width="11.81640625" bestFit="1" customWidth="1"/>
    <col min="7" max="7" width="20.54296875" bestFit="1" customWidth="1"/>
    <col min="8" max="9" width="11.81640625" bestFit="1" customWidth="1"/>
    <col min="10" max="10" width="17.6328125" bestFit="1" customWidth="1"/>
    <col min="11" max="11" width="11.81640625" bestFit="1" customWidth="1"/>
    <col min="12" max="12" width="15.81640625" bestFit="1" customWidth="1"/>
    <col min="13" max="13" width="19" bestFit="1" customWidth="1"/>
    <col min="14" max="14" width="11.81640625" bestFit="1" customWidth="1"/>
    <col min="15" max="15" width="10.81640625" bestFit="1" customWidth="1"/>
    <col min="16" max="16" width="18.36328125" bestFit="1" customWidth="1"/>
  </cols>
  <sheetData>
    <row r="1" spans="1:17" x14ac:dyDescent="0.35">
      <c r="A1" t="s">
        <v>8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</row>
    <row r="2" spans="1:17" x14ac:dyDescent="0.35">
      <c r="A2" t="s">
        <v>49</v>
      </c>
      <c r="B2" t="s">
        <v>15</v>
      </c>
      <c r="C2">
        <f>1690/541000</f>
        <v>3.1238447319778188E-3</v>
      </c>
      <c r="D2">
        <f>247/541000</f>
        <v>4.5656192236598889E-4</v>
      </c>
      <c r="E2">
        <f>116/541000</f>
        <v>2.144177449168207E-4</v>
      </c>
      <c r="F2">
        <f>85/541000</f>
        <v>1.5711645101663585E-4</v>
      </c>
      <c r="G2">
        <f>30/541000</f>
        <v>5.5452865064695011E-5</v>
      </c>
      <c r="H2">
        <f>40/541000</f>
        <v>7.3937153419593348E-5</v>
      </c>
      <c r="I2">
        <f>13/541000</f>
        <v>2.4029574861367838E-5</v>
      </c>
      <c r="J2">
        <f>435/541000</f>
        <v>8.0406654343807761E-4</v>
      </c>
      <c r="K2">
        <f>413/541000</f>
        <v>7.6340110905730131E-4</v>
      </c>
      <c r="L2">
        <f>6/541000</f>
        <v>1.1090573012939002E-5</v>
      </c>
      <c r="M2">
        <f>213/541000</f>
        <v>3.9371534195933454E-4</v>
      </c>
      <c r="N2">
        <f>26/541000</f>
        <v>4.8059149722735676E-5</v>
      </c>
      <c r="O2">
        <f>344/541000</f>
        <v>6.3585951940850277E-4</v>
      </c>
      <c r="P2">
        <f>163/541000</f>
        <v>3.012939001848429E-4</v>
      </c>
      <c r="Q2">
        <f>158/541000</f>
        <v>2.9205175600739372E-4</v>
      </c>
    </row>
    <row r="4" spans="1:17" x14ac:dyDescent="0.35">
      <c r="A4" s="7" t="s">
        <v>172</v>
      </c>
    </row>
    <row r="5" spans="1:17" x14ac:dyDescent="0.35">
      <c r="A5" t="s">
        <v>8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153</v>
      </c>
      <c r="O5" t="s">
        <v>154</v>
      </c>
      <c r="P5" t="s">
        <v>155</v>
      </c>
      <c r="Q5" t="s">
        <v>156</v>
      </c>
    </row>
    <row r="6" spans="1:17" x14ac:dyDescent="0.35">
      <c r="A6" t="s">
        <v>49</v>
      </c>
      <c r="B6" t="s">
        <v>15</v>
      </c>
      <c r="C6" s="6">
        <f>26868/1690</f>
        <v>15.898224852071007</v>
      </c>
      <c r="D6">
        <f>2820/247</f>
        <v>11.417004048582996</v>
      </c>
      <c r="E6">
        <f>2679/116</f>
        <v>23.094827586206897</v>
      </c>
      <c r="F6">
        <f>1059/85</f>
        <v>12.458823529411765</v>
      </c>
      <c r="G6">
        <f>681/30</f>
        <v>22.7</v>
      </c>
      <c r="H6">
        <f>551/40</f>
        <v>13.775</v>
      </c>
      <c r="I6">
        <f>126/13</f>
        <v>9.6923076923076916</v>
      </c>
      <c r="J6" s="6">
        <f>15717/435</f>
        <v>36.131034482758622</v>
      </c>
      <c r="K6" s="6">
        <f>12109/413</f>
        <v>29.319612590799032</v>
      </c>
      <c r="L6">
        <f>296/6</f>
        <v>49.333333333333336</v>
      </c>
      <c r="M6">
        <f>287/213</f>
        <v>1.3474178403755868</v>
      </c>
      <c r="N6">
        <f>226/26</f>
        <v>8.6923076923076916</v>
      </c>
      <c r="O6">
        <f>175/344</f>
        <v>0.50872093023255816</v>
      </c>
      <c r="P6">
        <f>481/163</f>
        <v>2.9509202453987728</v>
      </c>
      <c r="Q6">
        <f>475/158</f>
        <v>3.0063291139240507</v>
      </c>
    </row>
    <row r="10" spans="1:17" x14ac:dyDescent="0.35">
      <c r="B10" s="6"/>
    </row>
    <row r="18" spans="2:2" x14ac:dyDescent="0.35">
      <c r="B18" s="6"/>
    </row>
    <row r="19" spans="2:2" x14ac:dyDescent="0.35">
      <c r="B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AllData</vt:lpstr>
      <vt:lpstr>ReadMe</vt:lpstr>
      <vt:lpstr>Bell_etal_1985</vt:lpstr>
      <vt:lpstr>Forbes_1986</vt:lpstr>
      <vt:lpstr>Cryer_etal_1987</vt:lpstr>
      <vt:lpstr>Sears_1988</vt:lpstr>
      <vt:lpstr>Duerr_1999</vt:lpstr>
      <vt:lpstr>Radomski_etal_2006</vt:lpstr>
      <vt:lpstr>Pander_etal_2022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Rossi, Robert@DTSC</dc:creator>
  <cp:lastModifiedBy>Rossi, Robert@DTSC</cp:lastModifiedBy>
  <dcterms:created xsi:type="dcterms:W3CDTF">2024-01-02T21:32:10Z</dcterms:created>
  <dcterms:modified xsi:type="dcterms:W3CDTF">2024-05-22T20:45:30Z</dcterms:modified>
</cp:coreProperties>
</file>